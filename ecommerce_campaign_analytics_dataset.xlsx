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IFortis\Projects\Campaign_data\"/>
    </mc:Choice>
  </mc:AlternateContent>
  <xr:revisionPtr revIDLastSave="0" documentId="13_ncr:1_{9DC49845-F754-49B6-BA4F-6DD3458190EE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customers" sheetId="1" r:id="rId1"/>
    <sheet name="campaigns" sheetId="2" r:id="rId2"/>
    <sheet name="campaign_interactions" sheetId="3" r:id="rId3"/>
    <sheet name="conversions" sheetId="4" r:id="rId4"/>
  </sheets>
  <definedNames>
    <definedName name="_xlnm._FilterDatabase" localSheetId="3" hidden="1">conversions!$F$2:$F$61</definedName>
    <definedName name="_xlnm.Extract" localSheetId="3">conversions!$J$5</definedName>
  </definedNames>
  <calcPr calcId="191029"/>
  <pivotCaches>
    <pivotCache cacheId="7" r:id="rId5"/>
    <pivotCache cacheId="13" r:id="rId6"/>
    <pivotCache cacheId="17" r:id="rId7"/>
  </pivotCaches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K22" i="4"/>
  <c r="K23" i="4"/>
  <c r="K24" i="4"/>
  <c r="K25" i="4"/>
  <c r="K21" i="4"/>
  <c r="L5" i="4"/>
  <c r="N6" i="1"/>
  <c r="N7" i="1"/>
  <c r="N5" i="1"/>
</calcChain>
</file>

<file path=xl/sharedStrings.xml><?xml version="1.0" encoding="utf-8"?>
<sst xmlns="http://schemas.openxmlformats.org/spreadsheetml/2006/main" count="1163" uniqueCount="102">
  <si>
    <t>customer_id</t>
  </si>
  <si>
    <t>first_name</t>
  </si>
  <si>
    <t>last_name</t>
  </si>
  <si>
    <t>gender</t>
  </si>
  <si>
    <t>age</t>
  </si>
  <si>
    <t>city</t>
  </si>
  <si>
    <t>state</t>
  </si>
  <si>
    <t>signup_date</t>
  </si>
  <si>
    <t>customer_segment</t>
  </si>
  <si>
    <t>acquisition_channel</t>
  </si>
  <si>
    <t>Priya</t>
  </si>
  <si>
    <t>Verma</t>
  </si>
  <si>
    <t>Male</t>
  </si>
  <si>
    <t>Pune</t>
  </si>
  <si>
    <t>India</t>
  </si>
  <si>
    <t>VIP</t>
  </si>
  <si>
    <t>Instagram</t>
  </si>
  <si>
    <t>Karan</t>
  </si>
  <si>
    <t>Sharma</t>
  </si>
  <si>
    <t>Female</t>
  </si>
  <si>
    <t>Delhi</t>
  </si>
  <si>
    <t>New</t>
  </si>
  <si>
    <t>Google Ads</t>
  </si>
  <si>
    <t>Pooja</t>
  </si>
  <si>
    <t>Singh</t>
  </si>
  <si>
    <t>Bangalore</t>
  </si>
  <si>
    <t>Facebook</t>
  </si>
  <si>
    <t>Divya</t>
  </si>
  <si>
    <t>Nair</t>
  </si>
  <si>
    <t>Ankit</t>
  </si>
  <si>
    <t>Jain</t>
  </si>
  <si>
    <t>Returning</t>
  </si>
  <si>
    <t>Referral</t>
  </si>
  <si>
    <t>Patel</t>
  </si>
  <si>
    <t>Das</t>
  </si>
  <si>
    <t>Organic</t>
  </si>
  <si>
    <t>Rahul</t>
  </si>
  <si>
    <t>Kumar</t>
  </si>
  <si>
    <t>Hyderabad</t>
  </si>
  <si>
    <t>Gupta</t>
  </si>
  <si>
    <t>Mumbai</t>
  </si>
  <si>
    <t>Neha</t>
  </si>
  <si>
    <t>Amit</t>
  </si>
  <si>
    <t>Reddy</t>
  </si>
  <si>
    <t>Sneha</t>
  </si>
  <si>
    <t>Rohit</t>
  </si>
  <si>
    <t>campaign_id</t>
  </si>
  <si>
    <t>campaign_name</t>
  </si>
  <si>
    <t>campaign_type</t>
  </si>
  <si>
    <t>start_date</t>
  </si>
  <si>
    <t>end_date</t>
  </si>
  <si>
    <t>budget</t>
  </si>
  <si>
    <t>target_audience_segment</t>
  </si>
  <si>
    <t>channel</t>
  </si>
  <si>
    <t>status</t>
  </si>
  <si>
    <t>Campaign_1</t>
  </si>
  <si>
    <t>Retargeting</t>
  </si>
  <si>
    <t>Email</t>
  </si>
  <si>
    <t>Active</t>
  </si>
  <si>
    <t>Campaign_2</t>
  </si>
  <si>
    <t>Awareness</t>
  </si>
  <si>
    <t>Campaign_3</t>
  </si>
  <si>
    <t>Discount</t>
  </si>
  <si>
    <t>Campaign_4</t>
  </si>
  <si>
    <t>Completed</t>
  </si>
  <si>
    <t>Campaign_5</t>
  </si>
  <si>
    <t>interaction_id</t>
  </si>
  <si>
    <t>interaction_date</t>
  </si>
  <si>
    <t>interaction_type</t>
  </si>
  <si>
    <t>device_type</t>
  </si>
  <si>
    <t>country</t>
  </si>
  <si>
    <t>cost_per_click</t>
  </si>
  <si>
    <t>converted_flag</t>
  </si>
  <si>
    <t>View</t>
  </si>
  <si>
    <t>Tablet</t>
  </si>
  <si>
    <t>Desktop</t>
  </si>
  <si>
    <t>Open</t>
  </si>
  <si>
    <t>Mobile</t>
  </si>
  <si>
    <t>Click</t>
  </si>
  <si>
    <t>conversion_id</t>
  </si>
  <si>
    <t>conversion_date</t>
  </si>
  <si>
    <t>revenue_amount</t>
  </si>
  <si>
    <t>product_category</t>
  </si>
  <si>
    <t>discount_applied</t>
  </si>
  <si>
    <t>Sports</t>
  </si>
  <si>
    <t>Fashion</t>
  </si>
  <si>
    <t>Beauty</t>
  </si>
  <si>
    <t>Electronics</t>
  </si>
  <si>
    <t>Home</t>
  </si>
  <si>
    <t>Which customer segment has most customers</t>
  </si>
  <si>
    <t>Which acquisition channel brings the most customers</t>
  </si>
  <si>
    <t>Row Labels</t>
  </si>
  <si>
    <t>Grand Total</t>
  </si>
  <si>
    <t>Customer_id</t>
  </si>
  <si>
    <t>Count of Customers</t>
  </si>
  <si>
    <t>Count of interaction_id</t>
  </si>
  <si>
    <t>Which campaign generated the most interactions</t>
  </si>
  <si>
    <t>Breakdown of interaction types</t>
  </si>
  <si>
    <t>Which product category generates the highest reveue</t>
  </si>
  <si>
    <t>Sum of revenue_amount</t>
  </si>
  <si>
    <t>Revenue generated by campaign</t>
  </si>
  <si>
    <t>Campaign received the highest number of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</si>
</sst>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5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hant" refreshedDate="46185.039836226853" createdVersion="8" refreshedVersion="8" minRefreshableVersion="3" recordCount="100" xr:uid="{3D7914A7-F087-4E88-82CC-B11FF38F2999}">
  <cacheSource type="worksheet">
    <worksheetSource name="Table1"/>
  </cacheSource>
  <cacheFields count="10">
    <cacheField name="   " numFmtId="0">
      <sharedItems containsSemiMixedTypes="0" containsString="0" containsNumber="1" containsInteger="1" minValue="1" maxValue="100"/>
    </cacheField>
    <cacheField name="first_name" numFmtId="0">
      <sharedItems/>
    </cacheField>
    <cacheField name="last_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0"/>
    </cacheField>
    <cacheField name="city" numFmtId="0">
      <sharedItems/>
    </cacheField>
    <cacheField name="state" numFmtId="0">
      <sharedItems/>
    </cacheField>
    <cacheField name="signup_date" numFmtId="164">
      <sharedItems containsSemiMixedTypes="0" containsNonDate="0" containsDate="1" containsString="0" minDate="2024-01-02T00:00:00" maxDate="2025-05-03T00:00:00"/>
    </cacheField>
    <cacheField name="customer_segment" numFmtId="0">
      <sharedItems/>
    </cacheField>
    <cacheField name="acquisition_channel" numFmtId="0">
      <sharedItems count="5">
        <s v="Instagram"/>
        <s v="Google Ads"/>
        <s v="Facebook"/>
        <s v="Referral"/>
        <s v="Organi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hant" refreshedDate="46185.044294097221" createdVersion="8" refreshedVersion="8" minRefreshableVersion="3" recordCount="100" xr:uid="{99EFFD6D-62C3-4BB4-8727-9476F7A82045}">
  <cacheSource type="worksheet">
    <worksheetSource name="Table3"/>
  </cacheSource>
  <cacheFields count="9">
    <cacheField name="interaction_id" numFmtId="0">
      <sharedItems containsSemiMixedTypes="0" containsString="0" containsNumber="1" containsInteger="1" minValue="1" maxValue="100"/>
    </cacheField>
    <cacheField name="campaign_id" numFmtId="0">
      <sharedItems containsSemiMixedTypes="0" containsString="0" containsNumber="1" containsInteger="1" minValue="1" maxValue="5" count="5">
        <n v="4"/>
        <n v="1"/>
        <n v="2"/>
        <n v="3"/>
        <n v="5"/>
      </sharedItems>
    </cacheField>
    <cacheField name="customer_id" numFmtId="0">
      <sharedItems containsSemiMixedTypes="0" containsString="0" containsNumber="1" containsInteger="1" minValue="1" maxValue="97"/>
    </cacheField>
    <cacheField name="interaction_date" numFmtId="164">
      <sharedItems containsSemiMixedTypes="0" containsNonDate="0" containsDate="1" containsString="0" minDate="2025-01-02T00:00:00" maxDate="2025-05-02T00:00:00"/>
    </cacheField>
    <cacheField name="interaction_type" numFmtId="0">
      <sharedItems count="3">
        <s v="View"/>
        <s v="Open"/>
        <s v="Click"/>
      </sharedItems>
    </cacheField>
    <cacheField name="device_type" numFmtId="0">
      <sharedItems/>
    </cacheField>
    <cacheField name="country" numFmtId="0">
      <sharedItems/>
    </cacheField>
    <cacheField name="cost_per_click" numFmtId="0">
      <sharedItems containsSemiMixedTypes="0" containsString="0" containsNumber="1" minValue="1.17" maxValue="49.68"/>
    </cacheField>
    <cacheField name="converted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hant" refreshedDate="46185.060598611111" createdVersion="8" refreshedVersion="8" minRefreshableVersion="3" recordCount="60" xr:uid="{22DC2C02-3E4D-4F7C-83E8-5482F6F680E8}">
  <cacheSource type="worksheet">
    <worksheetSource name="Table4"/>
  </cacheSource>
  <cacheFields count="7">
    <cacheField name="conversion_id" numFmtId="0">
      <sharedItems containsSemiMixedTypes="0" containsString="0" containsNumber="1" containsInteger="1" minValue="1" maxValue="60"/>
    </cacheField>
    <cacheField name="campaign_id" numFmtId="0">
      <sharedItems containsSemiMixedTypes="0" containsString="0" containsNumber="1" containsInteger="1" minValue="1" maxValue="5"/>
    </cacheField>
    <cacheField name="customer_id" numFmtId="0">
      <sharedItems containsSemiMixedTypes="0" containsString="0" containsNumber="1" containsInteger="1" minValue="1" maxValue="100"/>
    </cacheField>
    <cacheField name="conversion_date" numFmtId="164">
      <sharedItems containsSemiMixedTypes="0" containsNonDate="0" containsDate="1" containsString="0" minDate="2025-01-03T00:00:00" maxDate="2025-04-28T00:00:00"/>
    </cacheField>
    <cacheField name="revenue_amount" numFmtId="0">
      <sharedItems containsSemiMixedTypes="0" containsString="0" containsNumber="1" minValue="502.21" maxValue="9939.08"/>
    </cacheField>
    <cacheField name="product_category" numFmtId="0">
      <sharedItems count="5">
        <s v="Sports"/>
        <s v="Fashion"/>
        <s v="Beauty"/>
        <s v="Electronics"/>
        <s v="Home"/>
      </sharedItems>
    </cacheField>
    <cacheField name="discount_appli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Priya"/>
    <s v="Verma"/>
    <s v="Male"/>
    <n v="31"/>
    <s v="Pune"/>
    <s v="India"/>
    <d v="2025-01-15T00:00:00"/>
    <s v="VIP"/>
    <x v="0"/>
  </r>
  <r>
    <n v="2"/>
    <s v="Karan"/>
    <s v="Sharma"/>
    <s v="Female"/>
    <n v="26"/>
    <s v="Delhi"/>
    <s v="India"/>
    <d v="2024-05-10T00:00:00"/>
    <s v="New"/>
    <x v="1"/>
  </r>
  <r>
    <n v="3"/>
    <s v="Pooja"/>
    <s v="Singh"/>
    <s v="Female"/>
    <n v="37"/>
    <s v="Bangalore"/>
    <s v="India"/>
    <d v="2024-03-20T00:00:00"/>
    <s v="VIP"/>
    <x v="2"/>
  </r>
  <r>
    <n v="4"/>
    <s v="Divya"/>
    <s v="Nair"/>
    <s v="Male"/>
    <n v="22"/>
    <s v="Pune"/>
    <s v="India"/>
    <d v="2024-12-06T00:00:00"/>
    <s v="New"/>
    <x v="2"/>
  </r>
  <r>
    <n v="5"/>
    <s v="Ankit"/>
    <s v="Jain"/>
    <s v="Female"/>
    <n v="28"/>
    <s v="Pune"/>
    <s v="India"/>
    <d v="2024-07-30T00:00:00"/>
    <s v="Returning"/>
    <x v="3"/>
  </r>
  <r>
    <n v="6"/>
    <s v="Pooja"/>
    <s v="Patel"/>
    <s v="Male"/>
    <n v="52"/>
    <s v="Delhi"/>
    <s v="India"/>
    <d v="2025-01-26T00:00:00"/>
    <s v="New"/>
    <x v="1"/>
  </r>
  <r>
    <n v="7"/>
    <s v="Ankit"/>
    <s v="Das"/>
    <s v="Male"/>
    <n v="32"/>
    <s v="Bangalore"/>
    <s v="India"/>
    <d v="2024-02-26T00:00:00"/>
    <s v="Returning"/>
    <x v="4"/>
  </r>
  <r>
    <n v="8"/>
    <s v="Pooja"/>
    <s v="Sharma"/>
    <s v="Male"/>
    <n v="35"/>
    <s v="Pune"/>
    <s v="India"/>
    <d v="2024-07-15T00:00:00"/>
    <s v="VIP"/>
    <x v="2"/>
  </r>
  <r>
    <n v="9"/>
    <s v="Rahul"/>
    <s v="Kumar"/>
    <s v="Male"/>
    <n v="21"/>
    <s v="Hyderabad"/>
    <s v="India"/>
    <d v="2024-04-15T00:00:00"/>
    <s v="Returning"/>
    <x v="3"/>
  </r>
  <r>
    <n v="10"/>
    <s v="Divya"/>
    <s v="Gupta"/>
    <s v="Female"/>
    <n v="37"/>
    <s v="Mumbai"/>
    <s v="India"/>
    <d v="2025-04-05T00:00:00"/>
    <s v="Returning"/>
    <x v="1"/>
  </r>
  <r>
    <n v="11"/>
    <s v="Priya"/>
    <s v="Gupta"/>
    <s v="Female"/>
    <n v="25"/>
    <s v="Delhi"/>
    <s v="India"/>
    <d v="2024-01-02T00:00:00"/>
    <s v="New"/>
    <x v="1"/>
  </r>
  <r>
    <n v="12"/>
    <s v="Neha"/>
    <s v="Verma"/>
    <s v="Male"/>
    <n v="34"/>
    <s v="Bangalore"/>
    <s v="India"/>
    <d v="2024-12-01T00:00:00"/>
    <s v="Returning"/>
    <x v="4"/>
  </r>
  <r>
    <n v="13"/>
    <s v="Amit"/>
    <s v="Patel"/>
    <s v="Female"/>
    <n v="21"/>
    <s v="Hyderabad"/>
    <s v="India"/>
    <d v="2025-01-19T00:00:00"/>
    <s v="VIP"/>
    <x v="4"/>
  </r>
  <r>
    <n v="14"/>
    <s v="Neha"/>
    <s v="Reddy"/>
    <s v="Female"/>
    <n v="24"/>
    <s v="Pune"/>
    <s v="India"/>
    <d v="2024-08-31T00:00:00"/>
    <s v="New"/>
    <x v="1"/>
  </r>
  <r>
    <n v="15"/>
    <s v="Neha"/>
    <s v="Reddy"/>
    <s v="Female"/>
    <n v="40"/>
    <s v="Pune"/>
    <s v="India"/>
    <d v="2024-01-26T00:00:00"/>
    <s v="VIP"/>
    <x v="2"/>
  </r>
  <r>
    <n v="16"/>
    <s v="Sneha"/>
    <s v="Singh"/>
    <s v="Male"/>
    <n v="34"/>
    <s v="Pune"/>
    <s v="India"/>
    <d v="2024-04-07T00:00:00"/>
    <s v="VIP"/>
    <x v="3"/>
  </r>
  <r>
    <n v="17"/>
    <s v="Pooja"/>
    <s v="Patel"/>
    <s v="Female"/>
    <n v="42"/>
    <s v="Pune"/>
    <s v="India"/>
    <d v="2024-11-09T00:00:00"/>
    <s v="New"/>
    <x v="1"/>
  </r>
  <r>
    <n v="18"/>
    <s v="Pooja"/>
    <s v="Kumar"/>
    <s v="Female"/>
    <n v="56"/>
    <s v="Delhi"/>
    <s v="India"/>
    <d v="2024-07-19T00:00:00"/>
    <s v="Returning"/>
    <x v="2"/>
  </r>
  <r>
    <n v="19"/>
    <s v="Rohit"/>
    <s v="Sharma"/>
    <s v="Male"/>
    <n v="50"/>
    <s v="Hyderabad"/>
    <s v="India"/>
    <d v="2024-12-15T00:00:00"/>
    <s v="New"/>
    <x v="1"/>
  </r>
  <r>
    <n v="20"/>
    <s v="Pooja"/>
    <s v="Nair"/>
    <s v="Male"/>
    <n v="33"/>
    <s v="Hyderabad"/>
    <s v="India"/>
    <d v="2025-01-03T00:00:00"/>
    <s v="New"/>
    <x v="0"/>
  </r>
  <r>
    <n v="21"/>
    <s v="Ankit"/>
    <s v="Singh"/>
    <s v="Female"/>
    <n v="46"/>
    <s v="Pune"/>
    <s v="India"/>
    <d v="2025-04-10T00:00:00"/>
    <s v="Returning"/>
    <x v="3"/>
  </r>
  <r>
    <n v="22"/>
    <s v="Priya"/>
    <s v="Sharma"/>
    <s v="Female"/>
    <n v="60"/>
    <s v="Pune"/>
    <s v="India"/>
    <d v="2024-12-04T00:00:00"/>
    <s v="New"/>
    <x v="4"/>
  </r>
  <r>
    <n v="23"/>
    <s v="Neha"/>
    <s v="Patel"/>
    <s v="Female"/>
    <n v="43"/>
    <s v="Hyderabad"/>
    <s v="India"/>
    <d v="2025-02-08T00:00:00"/>
    <s v="New"/>
    <x v="1"/>
  </r>
  <r>
    <n v="24"/>
    <s v="Karan"/>
    <s v="Jain"/>
    <s v="Female"/>
    <n v="42"/>
    <s v="Delhi"/>
    <s v="India"/>
    <d v="2024-11-10T00:00:00"/>
    <s v="Returning"/>
    <x v="3"/>
  </r>
  <r>
    <n v="25"/>
    <s v="Pooja"/>
    <s v="Gupta"/>
    <s v="Female"/>
    <n v="46"/>
    <s v="Delhi"/>
    <s v="India"/>
    <d v="2024-04-03T00:00:00"/>
    <s v="VIP"/>
    <x v="0"/>
  </r>
  <r>
    <n v="26"/>
    <s v="Pooja"/>
    <s v="Jain"/>
    <s v="Female"/>
    <n v="35"/>
    <s v="Pune"/>
    <s v="India"/>
    <d v="2024-03-23T00:00:00"/>
    <s v="VIP"/>
    <x v="4"/>
  </r>
  <r>
    <n v="27"/>
    <s v="Rahul"/>
    <s v="Verma"/>
    <s v="Male"/>
    <n v="51"/>
    <s v="Delhi"/>
    <s v="India"/>
    <d v="2024-02-16T00:00:00"/>
    <s v="Returning"/>
    <x v="2"/>
  </r>
  <r>
    <n v="28"/>
    <s v="Ankit"/>
    <s v="Das"/>
    <s v="Male"/>
    <n v="38"/>
    <s v="Hyderabad"/>
    <s v="India"/>
    <d v="2024-09-29T00:00:00"/>
    <s v="Returning"/>
    <x v="0"/>
  </r>
  <r>
    <n v="29"/>
    <s v="Ankit"/>
    <s v="Reddy"/>
    <s v="Male"/>
    <n v="52"/>
    <s v="Bangalore"/>
    <s v="India"/>
    <d v="2024-09-16T00:00:00"/>
    <s v="Returning"/>
    <x v="0"/>
  </r>
  <r>
    <n v="30"/>
    <s v="Rahul"/>
    <s v="Gupta"/>
    <s v="Female"/>
    <n v="40"/>
    <s v="Hyderabad"/>
    <s v="India"/>
    <d v="2024-03-08T00:00:00"/>
    <s v="Returning"/>
    <x v="3"/>
  </r>
  <r>
    <n v="31"/>
    <s v="Rahul"/>
    <s v="Jain"/>
    <s v="Female"/>
    <n v="20"/>
    <s v="Mumbai"/>
    <s v="India"/>
    <d v="2024-01-28T00:00:00"/>
    <s v="New"/>
    <x v="3"/>
  </r>
  <r>
    <n v="32"/>
    <s v="Karan"/>
    <s v="Nair"/>
    <s v="Female"/>
    <n v="58"/>
    <s v="Mumbai"/>
    <s v="India"/>
    <d v="2024-11-14T00:00:00"/>
    <s v="Returning"/>
    <x v="2"/>
  </r>
  <r>
    <n v="33"/>
    <s v="Rohit"/>
    <s v="Nair"/>
    <s v="Female"/>
    <n v="24"/>
    <s v="Pune"/>
    <s v="India"/>
    <d v="2024-12-17T00:00:00"/>
    <s v="VIP"/>
    <x v="3"/>
  </r>
  <r>
    <n v="34"/>
    <s v="Priya"/>
    <s v="Verma"/>
    <s v="Female"/>
    <n v="40"/>
    <s v="Bangalore"/>
    <s v="India"/>
    <d v="2025-01-28T00:00:00"/>
    <s v="Returning"/>
    <x v="0"/>
  </r>
  <r>
    <n v="35"/>
    <s v="Priya"/>
    <s v="Kumar"/>
    <s v="Female"/>
    <n v="31"/>
    <s v="Delhi"/>
    <s v="India"/>
    <d v="2024-06-13T00:00:00"/>
    <s v="New"/>
    <x v="3"/>
  </r>
  <r>
    <n v="36"/>
    <s v="Karan"/>
    <s v="Das"/>
    <s v="Male"/>
    <n v="20"/>
    <s v="Pune"/>
    <s v="India"/>
    <d v="2025-01-09T00:00:00"/>
    <s v="Returning"/>
    <x v="1"/>
  </r>
  <r>
    <n v="37"/>
    <s v="Priya"/>
    <s v="Patel"/>
    <s v="Female"/>
    <n v="48"/>
    <s v="Delhi"/>
    <s v="India"/>
    <d v="2024-02-01T00:00:00"/>
    <s v="VIP"/>
    <x v="1"/>
  </r>
  <r>
    <n v="38"/>
    <s v="Neha"/>
    <s v="Gupta"/>
    <s v="Female"/>
    <n v="23"/>
    <s v="Hyderabad"/>
    <s v="India"/>
    <d v="2024-07-16T00:00:00"/>
    <s v="New"/>
    <x v="2"/>
  </r>
  <r>
    <n v="39"/>
    <s v="Priya"/>
    <s v="Reddy"/>
    <s v="Female"/>
    <n v="60"/>
    <s v="Mumbai"/>
    <s v="India"/>
    <d v="2024-05-26T00:00:00"/>
    <s v="VIP"/>
    <x v="3"/>
  </r>
  <r>
    <n v="40"/>
    <s v="Sneha"/>
    <s v="Singh"/>
    <s v="Female"/>
    <n v="22"/>
    <s v="Delhi"/>
    <s v="India"/>
    <d v="2024-04-04T00:00:00"/>
    <s v="Returning"/>
    <x v="4"/>
  </r>
  <r>
    <n v="41"/>
    <s v="Rohit"/>
    <s v="Reddy"/>
    <s v="Female"/>
    <n v="25"/>
    <s v="Bangalore"/>
    <s v="India"/>
    <d v="2024-12-17T00:00:00"/>
    <s v="Returning"/>
    <x v="0"/>
  </r>
  <r>
    <n v="42"/>
    <s v="Sneha"/>
    <s v="Singh"/>
    <s v="Male"/>
    <n v="45"/>
    <s v="Mumbai"/>
    <s v="India"/>
    <d v="2024-02-20T00:00:00"/>
    <s v="Returning"/>
    <x v="3"/>
  </r>
  <r>
    <n v="43"/>
    <s v="Amit"/>
    <s v="Singh"/>
    <s v="Male"/>
    <n v="58"/>
    <s v="Bangalore"/>
    <s v="India"/>
    <d v="2025-04-08T00:00:00"/>
    <s v="VIP"/>
    <x v="2"/>
  </r>
  <r>
    <n v="44"/>
    <s v="Priya"/>
    <s v="Sharma"/>
    <s v="Male"/>
    <n v="28"/>
    <s v="Pune"/>
    <s v="India"/>
    <d v="2025-01-22T00:00:00"/>
    <s v="VIP"/>
    <x v="3"/>
  </r>
  <r>
    <n v="45"/>
    <s v="Pooja"/>
    <s v="Kumar"/>
    <s v="Female"/>
    <n v="42"/>
    <s v="Mumbai"/>
    <s v="India"/>
    <d v="2024-11-14T00:00:00"/>
    <s v="Returning"/>
    <x v="1"/>
  </r>
  <r>
    <n v="46"/>
    <s v="Amit"/>
    <s v="Reddy"/>
    <s v="Female"/>
    <n v="49"/>
    <s v="Hyderabad"/>
    <s v="India"/>
    <d v="2024-03-13T00:00:00"/>
    <s v="New"/>
    <x v="1"/>
  </r>
  <r>
    <n v="47"/>
    <s v="Pooja"/>
    <s v="Das"/>
    <s v="Female"/>
    <n v="36"/>
    <s v="Mumbai"/>
    <s v="India"/>
    <d v="2025-04-05T00:00:00"/>
    <s v="VIP"/>
    <x v="1"/>
  </r>
  <r>
    <n v="48"/>
    <s v="Sneha"/>
    <s v="Patel"/>
    <s v="Male"/>
    <n v="48"/>
    <s v="Bangalore"/>
    <s v="India"/>
    <d v="2024-09-05T00:00:00"/>
    <s v="New"/>
    <x v="2"/>
  </r>
  <r>
    <n v="49"/>
    <s v="Neha"/>
    <s v="Sharma"/>
    <s v="Female"/>
    <n v="59"/>
    <s v="Pune"/>
    <s v="India"/>
    <d v="2024-02-04T00:00:00"/>
    <s v="New"/>
    <x v="4"/>
  </r>
  <r>
    <n v="50"/>
    <s v="Ankit"/>
    <s v="Verma"/>
    <s v="Female"/>
    <n v="37"/>
    <s v="Hyderabad"/>
    <s v="India"/>
    <d v="2024-07-16T00:00:00"/>
    <s v="VIP"/>
    <x v="1"/>
  </r>
  <r>
    <n v="51"/>
    <s v="Karan"/>
    <s v="Verma"/>
    <s v="Male"/>
    <n v="18"/>
    <s v="Pune"/>
    <s v="India"/>
    <d v="2024-01-03T00:00:00"/>
    <s v="New"/>
    <x v="0"/>
  </r>
  <r>
    <n v="52"/>
    <s v="Divya"/>
    <s v="Singh"/>
    <s v="Male"/>
    <n v="26"/>
    <s v="Hyderabad"/>
    <s v="India"/>
    <d v="2024-01-28T00:00:00"/>
    <s v="New"/>
    <x v="1"/>
  </r>
  <r>
    <n v="53"/>
    <s v="Pooja"/>
    <s v="Singh"/>
    <s v="Male"/>
    <n v="57"/>
    <s v="Mumbai"/>
    <s v="India"/>
    <d v="2024-02-15T00:00:00"/>
    <s v="Returning"/>
    <x v="2"/>
  </r>
  <r>
    <n v="54"/>
    <s v="Pooja"/>
    <s v="Gupta"/>
    <s v="Female"/>
    <n v="49"/>
    <s v="Mumbai"/>
    <s v="India"/>
    <d v="2025-04-13T00:00:00"/>
    <s v="Returning"/>
    <x v="0"/>
  </r>
  <r>
    <n v="55"/>
    <s v="Ankit"/>
    <s v="Reddy"/>
    <s v="Male"/>
    <n v="59"/>
    <s v="Delhi"/>
    <s v="India"/>
    <d v="2025-01-16T00:00:00"/>
    <s v="New"/>
    <x v="1"/>
  </r>
  <r>
    <n v="56"/>
    <s v="Divya"/>
    <s v="Verma"/>
    <s v="Female"/>
    <n v="50"/>
    <s v="Delhi"/>
    <s v="India"/>
    <d v="2025-05-02T00:00:00"/>
    <s v="Returning"/>
    <x v="4"/>
  </r>
  <r>
    <n v="57"/>
    <s v="Ankit"/>
    <s v="Singh"/>
    <s v="Male"/>
    <n v="52"/>
    <s v="Delhi"/>
    <s v="India"/>
    <d v="2024-09-19T00:00:00"/>
    <s v="Returning"/>
    <x v="2"/>
  </r>
  <r>
    <n v="58"/>
    <s v="Priya"/>
    <s v="Singh"/>
    <s v="Female"/>
    <n v="19"/>
    <s v="Hyderabad"/>
    <s v="India"/>
    <d v="2024-01-27T00:00:00"/>
    <s v="VIP"/>
    <x v="0"/>
  </r>
  <r>
    <n v="59"/>
    <s v="Rohit"/>
    <s v="Reddy"/>
    <s v="Male"/>
    <n v="44"/>
    <s v="Hyderabad"/>
    <s v="India"/>
    <d v="2024-02-11T00:00:00"/>
    <s v="VIP"/>
    <x v="4"/>
  </r>
  <r>
    <n v="60"/>
    <s v="Priya"/>
    <s v="Kumar"/>
    <s v="Male"/>
    <n v="44"/>
    <s v="Delhi"/>
    <s v="India"/>
    <d v="2025-01-03T00:00:00"/>
    <s v="Returning"/>
    <x v="2"/>
  </r>
  <r>
    <n v="61"/>
    <s v="Sneha"/>
    <s v="Verma"/>
    <s v="Female"/>
    <n v="49"/>
    <s v="Pune"/>
    <s v="India"/>
    <d v="2024-11-13T00:00:00"/>
    <s v="Returning"/>
    <x v="2"/>
  </r>
  <r>
    <n v="62"/>
    <s v="Pooja"/>
    <s v="Verma"/>
    <s v="Male"/>
    <n v="22"/>
    <s v="Bangalore"/>
    <s v="India"/>
    <d v="2024-03-18T00:00:00"/>
    <s v="VIP"/>
    <x v="4"/>
  </r>
  <r>
    <n v="63"/>
    <s v="Pooja"/>
    <s v="Das"/>
    <s v="Female"/>
    <n v="19"/>
    <s v="Pune"/>
    <s v="India"/>
    <d v="2024-07-15T00:00:00"/>
    <s v="Returning"/>
    <x v="0"/>
  </r>
  <r>
    <n v="64"/>
    <s v="Ankit"/>
    <s v="Das"/>
    <s v="Female"/>
    <n v="51"/>
    <s v="Mumbai"/>
    <s v="India"/>
    <d v="2024-01-04T00:00:00"/>
    <s v="VIP"/>
    <x v="3"/>
  </r>
  <r>
    <n v="65"/>
    <s v="Karan"/>
    <s v="Patel"/>
    <s v="Male"/>
    <n v="20"/>
    <s v="Mumbai"/>
    <s v="India"/>
    <d v="2025-02-03T00:00:00"/>
    <s v="VIP"/>
    <x v="3"/>
  </r>
  <r>
    <n v="66"/>
    <s v="Neha"/>
    <s v="Reddy"/>
    <s v="Female"/>
    <n v="19"/>
    <s v="Bangalore"/>
    <s v="India"/>
    <d v="2025-02-14T00:00:00"/>
    <s v="VIP"/>
    <x v="4"/>
  </r>
  <r>
    <n v="67"/>
    <s v="Amit"/>
    <s v="Verma"/>
    <s v="Female"/>
    <n v="35"/>
    <s v="Hyderabad"/>
    <s v="India"/>
    <d v="2024-03-11T00:00:00"/>
    <s v="New"/>
    <x v="2"/>
  </r>
  <r>
    <n v="68"/>
    <s v="Sneha"/>
    <s v="Verma"/>
    <s v="Female"/>
    <n v="59"/>
    <s v="Mumbai"/>
    <s v="India"/>
    <d v="2024-10-08T00:00:00"/>
    <s v="New"/>
    <x v="3"/>
  </r>
  <r>
    <n v="69"/>
    <s v="Pooja"/>
    <s v="Verma"/>
    <s v="Female"/>
    <n v="60"/>
    <s v="Hyderabad"/>
    <s v="India"/>
    <d v="2024-02-07T00:00:00"/>
    <s v="VIP"/>
    <x v="3"/>
  </r>
  <r>
    <n v="70"/>
    <s v="Rahul"/>
    <s v="Jain"/>
    <s v="Male"/>
    <n v="41"/>
    <s v="Hyderabad"/>
    <s v="India"/>
    <d v="2024-01-19T00:00:00"/>
    <s v="Returning"/>
    <x v="4"/>
  </r>
  <r>
    <n v="71"/>
    <s v="Divya"/>
    <s v="Sharma"/>
    <s v="Male"/>
    <n v="29"/>
    <s v="Bangalore"/>
    <s v="India"/>
    <d v="2025-04-26T00:00:00"/>
    <s v="New"/>
    <x v="3"/>
  </r>
  <r>
    <n v="72"/>
    <s v="Rahul"/>
    <s v="Reddy"/>
    <s v="Female"/>
    <n v="40"/>
    <s v="Bangalore"/>
    <s v="India"/>
    <d v="2024-12-14T00:00:00"/>
    <s v="Returning"/>
    <x v="0"/>
  </r>
  <r>
    <n v="73"/>
    <s v="Karan"/>
    <s v="Reddy"/>
    <s v="Male"/>
    <n v="51"/>
    <s v="Hyderabad"/>
    <s v="India"/>
    <d v="2025-03-28T00:00:00"/>
    <s v="VIP"/>
    <x v="4"/>
  </r>
  <r>
    <n v="74"/>
    <s v="Sneha"/>
    <s v="Verma"/>
    <s v="Female"/>
    <n v="41"/>
    <s v="Pune"/>
    <s v="India"/>
    <d v="2024-09-09T00:00:00"/>
    <s v="VIP"/>
    <x v="2"/>
  </r>
  <r>
    <n v="75"/>
    <s v="Rahul"/>
    <s v="Sharma"/>
    <s v="Male"/>
    <n v="32"/>
    <s v="Bangalore"/>
    <s v="India"/>
    <d v="2024-03-10T00:00:00"/>
    <s v="New"/>
    <x v="4"/>
  </r>
  <r>
    <n v="76"/>
    <s v="Priya"/>
    <s v="Nair"/>
    <s v="Female"/>
    <n v="23"/>
    <s v="Hyderabad"/>
    <s v="India"/>
    <d v="2024-11-28T00:00:00"/>
    <s v="VIP"/>
    <x v="3"/>
  </r>
  <r>
    <n v="77"/>
    <s v="Ankit"/>
    <s v="Gupta"/>
    <s v="Female"/>
    <n v="30"/>
    <s v="Mumbai"/>
    <s v="India"/>
    <d v="2024-08-19T00:00:00"/>
    <s v="New"/>
    <x v="0"/>
  </r>
  <r>
    <n v="78"/>
    <s v="Rohit"/>
    <s v="Kumar"/>
    <s v="Female"/>
    <n v="37"/>
    <s v="Delhi"/>
    <s v="India"/>
    <d v="2024-02-21T00:00:00"/>
    <s v="VIP"/>
    <x v="0"/>
  </r>
  <r>
    <n v="79"/>
    <s v="Divya"/>
    <s v="Gupta"/>
    <s v="Female"/>
    <n v="59"/>
    <s v="Hyderabad"/>
    <s v="India"/>
    <d v="2024-06-11T00:00:00"/>
    <s v="Returning"/>
    <x v="3"/>
  </r>
  <r>
    <n v="80"/>
    <s v="Divya"/>
    <s v="Nair"/>
    <s v="Male"/>
    <n v="47"/>
    <s v="Delhi"/>
    <s v="India"/>
    <d v="2024-11-07T00:00:00"/>
    <s v="Returning"/>
    <x v="1"/>
  </r>
  <r>
    <n v="81"/>
    <s v="Rohit"/>
    <s v="Sharma"/>
    <s v="Male"/>
    <n v="25"/>
    <s v="Bangalore"/>
    <s v="India"/>
    <d v="2025-01-20T00:00:00"/>
    <s v="New"/>
    <x v="3"/>
  </r>
  <r>
    <n v="82"/>
    <s v="Divya"/>
    <s v="Gupta"/>
    <s v="Female"/>
    <n v="21"/>
    <s v="Delhi"/>
    <s v="India"/>
    <d v="2024-10-03T00:00:00"/>
    <s v="VIP"/>
    <x v="2"/>
  </r>
  <r>
    <n v="83"/>
    <s v="Karan"/>
    <s v="Verma"/>
    <s v="Female"/>
    <n v="46"/>
    <s v="Delhi"/>
    <s v="India"/>
    <d v="2024-03-19T00:00:00"/>
    <s v="VIP"/>
    <x v="0"/>
  </r>
  <r>
    <n v="84"/>
    <s v="Divya"/>
    <s v="Verma"/>
    <s v="Female"/>
    <n v="42"/>
    <s v="Mumbai"/>
    <s v="India"/>
    <d v="2024-01-03T00:00:00"/>
    <s v="Returning"/>
    <x v="0"/>
  </r>
  <r>
    <n v="85"/>
    <s v="Pooja"/>
    <s v="Sharma"/>
    <s v="Male"/>
    <n v="22"/>
    <s v="Mumbai"/>
    <s v="India"/>
    <d v="2024-01-25T00:00:00"/>
    <s v="VIP"/>
    <x v="4"/>
  </r>
  <r>
    <n v="86"/>
    <s v="Ankit"/>
    <s v="Sharma"/>
    <s v="Female"/>
    <n v="33"/>
    <s v="Mumbai"/>
    <s v="India"/>
    <d v="2024-07-19T00:00:00"/>
    <s v="Returning"/>
    <x v="1"/>
  </r>
  <r>
    <n v="87"/>
    <s v="Divya"/>
    <s v="Gupta"/>
    <s v="Female"/>
    <n v="23"/>
    <s v="Pune"/>
    <s v="India"/>
    <d v="2024-04-16T00:00:00"/>
    <s v="Returning"/>
    <x v="2"/>
  </r>
  <r>
    <n v="88"/>
    <s v="Neha"/>
    <s v="Verma"/>
    <s v="Female"/>
    <n v="60"/>
    <s v="Bangalore"/>
    <s v="India"/>
    <d v="2024-02-07T00:00:00"/>
    <s v="Returning"/>
    <x v="0"/>
  </r>
  <r>
    <n v="89"/>
    <s v="Neha"/>
    <s v="Reddy"/>
    <s v="Male"/>
    <n v="27"/>
    <s v="Bangalore"/>
    <s v="India"/>
    <d v="2024-03-21T00:00:00"/>
    <s v="Returning"/>
    <x v="2"/>
  </r>
  <r>
    <n v="90"/>
    <s v="Sneha"/>
    <s v="Das"/>
    <s v="Male"/>
    <n v="30"/>
    <s v="Hyderabad"/>
    <s v="India"/>
    <d v="2024-03-12T00:00:00"/>
    <s v="Returning"/>
    <x v="1"/>
  </r>
  <r>
    <n v="91"/>
    <s v="Divya"/>
    <s v="Singh"/>
    <s v="Male"/>
    <n v="51"/>
    <s v="Delhi"/>
    <s v="India"/>
    <d v="2024-04-10T00:00:00"/>
    <s v="VIP"/>
    <x v="0"/>
  </r>
  <r>
    <n v="92"/>
    <s v="Neha"/>
    <s v="Verma"/>
    <s v="Female"/>
    <n v="46"/>
    <s v="Mumbai"/>
    <s v="India"/>
    <d v="2024-06-03T00:00:00"/>
    <s v="Returning"/>
    <x v="0"/>
  </r>
  <r>
    <n v="93"/>
    <s v="Karan"/>
    <s v="Verma"/>
    <s v="Female"/>
    <n v="43"/>
    <s v="Mumbai"/>
    <s v="India"/>
    <d v="2024-05-24T00:00:00"/>
    <s v="Returning"/>
    <x v="3"/>
  </r>
  <r>
    <n v="94"/>
    <s v="Priya"/>
    <s v="Verma"/>
    <s v="Male"/>
    <n v="32"/>
    <s v="Hyderabad"/>
    <s v="India"/>
    <d v="2025-03-21T00:00:00"/>
    <s v="Returning"/>
    <x v="4"/>
  </r>
  <r>
    <n v="95"/>
    <s v="Divya"/>
    <s v="Gupta"/>
    <s v="Male"/>
    <n v="43"/>
    <s v="Pune"/>
    <s v="India"/>
    <d v="2024-11-02T00:00:00"/>
    <s v="Returning"/>
    <x v="1"/>
  </r>
  <r>
    <n v="96"/>
    <s v="Divya"/>
    <s v="Gupta"/>
    <s v="Male"/>
    <n v="53"/>
    <s v="Bangalore"/>
    <s v="India"/>
    <d v="2024-06-23T00:00:00"/>
    <s v="Returning"/>
    <x v="4"/>
  </r>
  <r>
    <n v="97"/>
    <s v="Sneha"/>
    <s v="Das"/>
    <s v="Female"/>
    <n v="37"/>
    <s v="Pune"/>
    <s v="India"/>
    <d v="2024-10-09T00:00:00"/>
    <s v="Returning"/>
    <x v="4"/>
  </r>
  <r>
    <n v="98"/>
    <s v="Amit"/>
    <s v="Singh"/>
    <s v="Male"/>
    <n v="40"/>
    <s v="Hyderabad"/>
    <s v="India"/>
    <d v="2024-06-22T00:00:00"/>
    <s v="VIP"/>
    <x v="3"/>
  </r>
  <r>
    <n v="99"/>
    <s v="Pooja"/>
    <s v="Nair"/>
    <s v="Male"/>
    <n v="53"/>
    <s v="Hyderabad"/>
    <s v="India"/>
    <d v="2024-03-14T00:00:00"/>
    <s v="New"/>
    <x v="2"/>
  </r>
  <r>
    <n v="100"/>
    <s v="Pooja"/>
    <s v="Nair"/>
    <s v="Female"/>
    <n v="25"/>
    <s v="Delhi"/>
    <s v="India"/>
    <d v="2024-07-19T00:00:00"/>
    <s v="VIP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n v="16"/>
    <d v="2025-04-25T00:00:00"/>
    <x v="0"/>
    <s v="Tablet"/>
    <s v="India"/>
    <n v="19.97"/>
    <n v="1"/>
  </r>
  <r>
    <n v="2"/>
    <x v="1"/>
    <n v="26"/>
    <d v="2025-04-19T00:00:00"/>
    <x v="0"/>
    <s v="Desktop"/>
    <s v="India"/>
    <n v="7.73"/>
    <n v="1"/>
  </r>
  <r>
    <n v="3"/>
    <x v="2"/>
    <n v="41"/>
    <d v="2025-03-03T00:00:00"/>
    <x v="1"/>
    <s v="Mobile"/>
    <s v="India"/>
    <n v="4.1900000000000004"/>
    <n v="1"/>
  </r>
  <r>
    <n v="4"/>
    <x v="0"/>
    <n v="43"/>
    <d v="2025-03-09T00:00:00"/>
    <x v="1"/>
    <s v="Tablet"/>
    <s v="India"/>
    <n v="42.92"/>
    <n v="0"/>
  </r>
  <r>
    <n v="5"/>
    <x v="2"/>
    <n v="61"/>
    <d v="2025-03-29T00:00:00"/>
    <x v="0"/>
    <s v="Tablet"/>
    <s v="India"/>
    <n v="38.49"/>
    <n v="1"/>
  </r>
  <r>
    <n v="6"/>
    <x v="3"/>
    <n v="23"/>
    <d v="2025-04-29T00:00:00"/>
    <x v="2"/>
    <s v="Tablet"/>
    <s v="India"/>
    <n v="34.75"/>
    <n v="1"/>
  </r>
  <r>
    <n v="7"/>
    <x v="0"/>
    <n v="30"/>
    <d v="2025-04-04T00:00:00"/>
    <x v="2"/>
    <s v="Mobile"/>
    <s v="India"/>
    <n v="39.89"/>
    <n v="0"/>
  </r>
  <r>
    <n v="8"/>
    <x v="2"/>
    <n v="26"/>
    <d v="2025-03-08T00:00:00"/>
    <x v="2"/>
    <s v="Tablet"/>
    <s v="India"/>
    <n v="25.69"/>
    <n v="0"/>
  </r>
  <r>
    <n v="9"/>
    <x v="1"/>
    <n v="26"/>
    <d v="2025-05-01T00:00:00"/>
    <x v="0"/>
    <s v="Desktop"/>
    <s v="India"/>
    <n v="48.99"/>
    <n v="1"/>
  </r>
  <r>
    <n v="10"/>
    <x v="0"/>
    <n v="62"/>
    <d v="2025-02-07T00:00:00"/>
    <x v="1"/>
    <s v="Mobile"/>
    <s v="India"/>
    <n v="36.659999999999997"/>
    <n v="0"/>
  </r>
  <r>
    <n v="11"/>
    <x v="4"/>
    <n v="15"/>
    <d v="2025-02-23T00:00:00"/>
    <x v="2"/>
    <s v="Tablet"/>
    <s v="India"/>
    <n v="18.440000000000001"/>
    <n v="1"/>
  </r>
  <r>
    <n v="12"/>
    <x v="4"/>
    <n v="23"/>
    <d v="2025-03-11T00:00:00"/>
    <x v="0"/>
    <s v="Desktop"/>
    <s v="India"/>
    <n v="16.170000000000002"/>
    <n v="0"/>
  </r>
  <r>
    <n v="13"/>
    <x v="1"/>
    <n v="57"/>
    <d v="2025-04-27T00:00:00"/>
    <x v="2"/>
    <s v="Tablet"/>
    <s v="India"/>
    <n v="40.25"/>
    <n v="0"/>
  </r>
  <r>
    <n v="14"/>
    <x v="3"/>
    <n v="76"/>
    <d v="2025-04-24T00:00:00"/>
    <x v="1"/>
    <s v="Tablet"/>
    <s v="India"/>
    <n v="17.02"/>
    <n v="1"/>
  </r>
  <r>
    <n v="15"/>
    <x v="2"/>
    <n v="87"/>
    <d v="2025-03-06T00:00:00"/>
    <x v="2"/>
    <s v="Tablet"/>
    <s v="India"/>
    <n v="42.22"/>
    <n v="1"/>
  </r>
  <r>
    <n v="16"/>
    <x v="4"/>
    <n v="11"/>
    <d v="2025-03-20T00:00:00"/>
    <x v="0"/>
    <s v="Desktop"/>
    <s v="India"/>
    <n v="44.18"/>
    <n v="0"/>
  </r>
  <r>
    <n v="17"/>
    <x v="1"/>
    <n v="72"/>
    <d v="2025-03-13T00:00:00"/>
    <x v="1"/>
    <s v="Desktop"/>
    <s v="India"/>
    <n v="49.18"/>
    <n v="0"/>
  </r>
  <r>
    <n v="18"/>
    <x v="3"/>
    <n v="89"/>
    <d v="2025-01-29T00:00:00"/>
    <x v="1"/>
    <s v="Tablet"/>
    <s v="India"/>
    <n v="17.12"/>
    <n v="1"/>
  </r>
  <r>
    <n v="19"/>
    <x v="2"/>
    <n v="5"/>
    <d v="2025-01-19T00:00:00"/>
    <x v="0"/>
    <s v="Tablet"/>
    <s v="India"/>
    <n v="13.29"/>
    <n v="0"/>
  </r>
  <r>
    <n v="20"/>
    <x v="3"/>
    <n v="49"/>
    <d v="2025-04-15T00:00:00"/>
    <x v="0"/>
    <s v="Desktop"/>
    <s v="India"/>
    <n v="5.09"/>
    <n v="0"/>
  </r>
  <r>
    <n v="21"/>
    <x v="1"/>
    <n v="27"/>
    <d v="2025-04-15T00:00:00"/>
    <x v="1"/>
    <s v="Tablet"/>
    <s v="India"/>
    <n v="42.46"/>
    <n v="1"/>
  </r>
  <r>
    <n v="22"/>
    <x v="0"/>
    <n v="82"/>
    <d v="2025-03-05T00:00:00"/>
    <x v="2"/>
    <s v="Desktop"/>
    <s v="India"/>
    <n v="30.05"/>
    <n v="0"/>
  </r>
  <r>
    <n v="23"/>
    <x v="3"/>
    <n v="97"/>
    <d v="2025-03-07T00:00:00"/>
    <x v="0"/>
    <s v="Desktop"/>
    <s v="India"/>
    <n v="35.049999999999997"/>
    <n v="1"/>
  </r>
  <r>
    <n v="24"/>
    <x v="4"/>
    <n v="29"/>
    <d v="2025-02-02T00:00:00"/>
    <x v="1"/>
    <s v="Mobile"/>
    <s v="India"/>
    <n v="2.98"/>
    <n v="0"/>
  </r>
  <r>
    <n v="25"/>
    <x v="3"/>
    <n v="75"/>
    <d v="2025-01-20T00:00:00"/>
    <x v="0"/>
    <s v="Mobile"/>
    <s v="India"/>
    <n v="13.06"/>
    <n v="0"/>
  </r>
  <r>
    <n v="26"/>
    <x v="3"/>
    <n v="43"/>
    <d v="2025-04-22T00:00:00"/>
    <x v="1"/>
    <s v="Desktop"/>
    <s v="India"/>
    <n v="18.850000000000001"/>
    <n v="1"/>
  </r>
  <r>
    <n v="27"/>
    <x v="4"/>
    <n v="89"/>
    <d v="2025-03-24T00:00:00"/>
    <x v="0"/>
    <s v="Tablet"/>
    <s v="India"/>
    <n v="38.25"/>
    <n v="0"/>
  </r>
  <r>
    <n v="28"/>
    <x v="3"/>
    <n v="43"/>
    <d v="2025-02-21T00:00:00"/>
    <x v="2"/>
    <s v="Mobile"/>
    <s v="India"/>
    <n v="36.380000000000003"/>
    <n v="0"/>
  </r>
  <r>
    <n v="29"/>
    <x v="4"/>
    <n v="27"/>
    <d v="2025-03-13T00:00:00"/>
    <x v="0"/>
    <s v="Desktop"/>
    <s v="India"/>
    <n v="46.6"/>
    <n v="0"/>
  </r>
  <r>
    <n v="30"/>
    <x v="4"/>
    <n v="15"/>
    <d v="2025-02-22T00:00:00"/>
    <x v="2"/>
    <s v="Tablet"/>
    <s v="India"/>
    <n v="20.59"/>
    <n v="0"/>
  </r>
  <r>
    <n v="31"/>
    <x v="2"/>
    <n v="43"/>
    <d v="2025-04-04T00:00:00"/>
    <x v="2"/>
    <s v="Mobile"/>
    <s v="India"/>
    <n v="7.44"/>
    <n v="0"/>
  </r>
  <r>
    <n v="32"/>
    <x v="4"/>
    <n v="37"/>
    <d v="2025-02-28T00:00:00"/>
    <x v="1"/>
    <s v="Tablet"/>
    <s v="India"/>
    <n v="36.47"/>
    <n v="0"/>
  </r>
  <r>
    <n v="33"/>
    <x v="2"/>
    <n v="51"/>
    <d v="2025-03-13T00:00:00"/>
    <x v="1"/>
    <s v="Mobile"/>
    <s v="India"/>
    <n v="42.18"/>
    <n v="1"/>
  </r>
  <r>
    <n v="34"/>
    <x v="1"/>
    <n v="53"/>
    <d v="2025-04-27T00:00:00"/>
    <x v="1"/>
    <s v="Tablet"/>
    <s v="India"/>
    <n v="42.13"/>
    <n v="1"/>
  </r>
  <r>
    <n v="35"/>
    <x v="1"/>
    <n v="81"/>
    <d v="2025-01-22T00:00:00"/>
    <x v="1"/>
    <s v="Tablet"/>
    <s v="India"/>
    <n v="37.44"/>
    <n v="0"/>
  </r>
  <r>
    <n v="36"/>
    <x v="0"/>
    <n v="75"/>
    <d v="2025-04-05T00:00:00"/>
    <x v="1"/>
    <s v="Tablet"/>
    <s v="India"/>
    <n v="18.78"/>
    <n v="1"/>
  </r>
  <r>
    <n v="37"/>
    <x v="3"/>
    <n v="48"/>
    <d v="2025-01-21T00:00:00"/>
    <x v="1"/>
    <s v="Tablet"/>
    <s v="India"/>
    <n v="19.34"/>
    <n v="0"/>
  </r>
  <r>
    <n v="38"/>
    <x v="4"/>
    <n v="1"/>
    <d v="2025-03-03T00:00:00"/>
    <x v="1"/>
    <s v="Tablet"/>
    <s v="India"/>
    <n v="16.149999999999999"/>
    <n v="1"/>
  </r>
  <r>
    <n v="39"/>
    <x v="3"/>
    <n v="83"/>
    <d v="2025-03-15T00:00:00"/>
    <x v="0"/>
    <s v="Desktop"/>
    <s v="India"/>
    <n v="32.76"/>
    <n v="0"/>
  </r>
  <r>
    <n v="40"/>
    <x v="0"/>
    <n v="7"/>
    <d v="2025-01-14T00:00:00"/>
    <x v="1"/>
    <s v="Tablet"/>
    <s v="India"/>
    <n v="42.62"/>
    <n v="0"/>
  </r>
  <r>
    <n v="41"/>
    <x v="0"/>
    <n v="14"/>
    <d v="2025-03-30T00:00:00"/>
    <x v="2"/>
    <s v="Desktop"/>
    <s v="India"/>
    <n v="18.010000000000002"/>
    <n v="1"/>
  </r>
  <r>
    <n v="42"/>
    <x v="4"/>
    <n v="70"/>
    <d v="2025-01-05T00:00:00"/>
    <x v="1"/>
    <s v="Desktop"/>
    <s v="India"/>
    <n v="32.07"/>
    <n v="1"/>
  </r>
  <r>
    <n v="43"/>
    <x v="3"/>
    <n v="9"/>
    <d v="2025-03-31T00:00:00"/>
    <x v="2"/>
    <s v="Mobile"/>
    <s v="India"/>
    <n v="21.28"/>
    <n v="1"/>
  </r>
  <r>
    <n v="44"/>
    <x v="4"/>
    <n v="94"/>
    <d v="2025-01-10T00:00:00"/>
    <x v="1"/>
    <s v="Tablet"/>
    <s v="India"/>
    <n v="28.7"/>
    <n v="0"/>
  </r>
  <r>
    <n v="45"/>
    <x v="0"/>
    <n v="15"/>
    <d v="2025-04-20T00:00:00"/>
    <x v="0"/>
    <s v="Mobile"/>
    <s v="India"/>
    <n v="39.25"/>
    <n v="0"/>
  </r>
  <r>
    <n v="46"/>
    <x v="0"/>
    <n v="59"/>
    <d v="2025-03-03T00:00:00"/>
    <x v="0"/>
    <s v="Mobile"/>
    <s v="India"/>
    <n v="16.489999999999998"/>
    <n v="0"/>
  </r>
  <r>
    <n v="47"/>
    <x v="3"/>
    <n v="51"/>
    <d v="2025-03-19T00:00:00"/>
    <x v="0"/>
    <s v="Tablet"/>
    <s v="India"/>
    <n v="49.39"/>
    <n v="0"/>
  </r>
  <r>
    <n v="48"/>
    <x v="1"/>
    <n v="49"/>
    <d v="2025-04-02T00:00:00"/>
    <x v="2"/>
    <s v="Tablet"/>
    <s v="India"/>
    <n v="27.74"/>
    <n v="0"/>
  </r>
  <r>
    <n v="49"/>
    <x v="1"/>
    <n v="17"/>
    <d v="2025-04-30T00:00:00"/>
    <x v="2"/>
    <s v="Tablet"/>
    <s v="India"/>
    <n v="45.55"/>
    <n v="1"/>
  </r>
  <r>
    <n v="50"/>
    <x v="0"/>
    <n v="67"/>
    <d v="2025-02-23T00:00:00"/>
    <x v="0"/>
    <s v="Tablet"/>
    <s v="India"/>
    <n v="49.68"/>
    <n v="1"/>
  </r>
  <r>
    <n v="51"/>
    <x v="0"/>
    <n v="27"/>
    <d v="2025-04-30T00:00:00"/>
    <x v="1"/>
    <s v="Desktop"/>
    <s v="India"/>
    <n v="28.29"/>
    <n v="0"/>
  </r>
  <r>
    <n v="52"/>
    <x v="2"/>
    <n v="78"/>
    <d v="2025-02-21T00:00:00"/>
    <x v="2"/>
    <s v="Mobile"/>
    <s v="India"/>
    <n v="2.2000000000000002"/>
    <n v="1"/>
  </r>
  <r>
    <n v="53"/>
    <x v="3"/>
    <n v="48"/>
    <d v="2025-02-17T00:00:00"/>
    <x v="0"/>
    <s v="Mobile"/>
    <s v="India"/>
    <n v="2.2599999999999998"/>
    <n v="1"/>
  </r>
  <r>
    <n v="54"/>
    <x v="2"/>
    <n v="49"/>
    <d v="2025-02-18T00:00:00"/>
    <x v="1"/>
    <s v="Tablet"/>
    <s v="India"/>
    <n v="23.25"/>
    <n v="0"/>
  </r>
  <r>
    <n v="55"/>
    <x v="3"/>
    <n v="89"/>
    <d v="2025-02-21T00:00:00"/>
    <x v="0"/>
    <s v="Mobile"/>
    <s v="India"/>
    <n v="44.55"/>
    <n v="1"/>
  </r>
  <r>
    <n v="56"/>
    <x v="4"/>
    <n v="26"/>
    <d v="2025-04-15T00:00:00"/>
    <x v="1"/>
    <s v="Mobile"/>
    <s v="India"/>
    <n v="38.56"/>
    <n v="0"/>
  </r>
  <r>
    <n v="57"/>
    <x v="1"/>
    <n v="61"/>
    <d v="2025-04-02T00:00:00"/>
    <x v="2"/>
    <s v="Tablet"/>
    <s v="India"/>
    <n v="44.93"/>
    <n v="0"/>
  </r>
  <r>
    <n v="58"/>
    <x v="4"/>
    <n v="47"/>
    <d v="2025-04-22T00:00:00"/>
    <x v="0"/>
    <s v="Tablet"/>
    <s v="India"/>
    <n v="1.62"/>
    <n v="0"/>
  </r>
  <r>
    <n v="59"/>
    <x v="3"/>
    <n v="70"/>
    <d v="2025-04-09T00:00:00"/>
    <x v="1"/>
    <s v="Tablet"/>
    <s v="India"/>
    <n v="37.049999999999997"/>
    <n v="0"/>
  </r>
  <r>
    <n v="60"/>
    <x v="1"/>
    <n v="23"/>
    <d v="2025-01-03T00:00:00"/>
    <x v="2"/>
    <s v="Tablet"/>
    <s v="India"/>
    <n v="41.26"/>
    <n v="1"/>
  </r>
  <r>
    <n v="61"/>
    <x v="4"/>
    <n v="57"/>
    <d v="2025-01-30T00:00:00"/>
    <x v="0"/>
    <s v="Desktop"/>
    <s v="India"/>
    <n v="15.51"/>
    <n v="0"/>
  </r>
  <r>
    <n v="62"/>
    <x v="3"/>
    <n v="86"/>
    <d v="2025-01-20T00:00:00"/>
    <x v="0"/>
    <s v="Desktop"/>
    <s v="India"/>
    <n v="3.99"/>
    <n v="1"/>
  </r>
  <r>
    <n v="63"/>
    <x v="2"/>
    <n v="53"/>
    <d v="2025-04-06T00:00:00"/>
    <x v="2"/>
    <s v="Mobile"/>
    <s v="India"/>
    <n v="9.26"/>
    <n v="1"/>
  </r>
  <r>
    <n v="64"/>
    <x v="4"/>
    <n v="70"/>
    <d v="2025-02-25T00:00:00"/>
    <x v="1"/>
    <s v="Mobile"/>
    <s v="India"/>
    <n v="12.37"/>
    <n v="1"/>
  </r>
  <r>
    <n v="65"/>
    <x v="4"/>
    <n v="35"/>
    <d v="2025-03-18T00:00:00"/>
    <x v="2"/>
    <s v="Tablet"/>
    <s v="India"/>
    <n v="18.29"/>
    <n v="0"/>
  </r>
  <r>
    <n v="66"/>
    <x v="0"/>
    <n v="43"/>
    <d v="2025-01-14T00:00:00"/>
    <x v="2"/>
    <s v="Desktop"/>
    <s v="India"/>
    <n v="25.75"/>
    <n v="1"/>
  </r>
  <r>
    <n v="67"/>
    <x v="2"/>
    <n v="25"/>
    <d v="2025-01-14T00:00:00"/>
    <x v="2"/>
    <s v="Tablet"/>
    <s v="India"/>
    <n v="25.42"/>
    <n v="1"/>
  </r>
  <r>
    <n v="68"/>
    <x v="3"/>
    <n v="90"/>
    <d v="2025-03-17T00:00:00"/>
    <x v="0"/>
    <s v="Desktop"/>
    <s v="India"/>
    <n v="25.68"/>
    <n v="0"/>
  </r>
  <r>
    <n v="69"/>
    <x v="1"/>
    <n v="90"/>
    <d v="2025-04-29T00:00:00"/>
    <x v="0"/>
    <s v="Tablet"/>
    <s v="India"/>
    <n v="45.36"/>
    <n v="1"/>
  </r>
  <r>
    <n v="70"/>
    <x v="4"/>
    <n v="90"/>
    <d v="2025-02-05T00:00:00"/>
    <x v="0"/>
    <s v="Tablet"/>
    <s v="India"/>
    <n v="17.16"/>
    <n v="0"/>
  </r>
  <r>
    <n v="71"/>
    <x v="2"/>
    <n v="2"/>
    <d v="2025-04-27T00:00:00"/>
    <x v="2"/>
    <s v="Mobile"/>
    <s v="India"/>
    <n v="1.61"/>
    <n v="1"/>
  </r>
  <r>
    <n v="72"/>
    <x v="3"/>
    <n v="28"/>
    <d v="2025-01-29T00:00:00"/>
    <x v="2"/>
    <s v="Mobile"/>
    <s v="India"/>
    <n v="46.01"/>
    <n v="0"/>
  </r>
  <r>
    <n v="73"/>
    <x v="0"/>
    <n v="68"/>
    <d v="2025-03-23T00:00:00"/>
    <x v="0"/>
    <s v="Tablet"/>
    <s v="India"/>
    <n v="1.17"/>
    <n v="1"/>
  </r>
  <r>
    <n v="74"/>
    <x v="3"/>
    <n v="80"/>
    <d v="2025-03-21T00:00:00"/>
    <x v="2"/>
    <s v="Tablet"/>
    <s v="India"/>
    <n v="10.92"/>
    <n v="1"/>
  </r>
  <r>
    <n v="75"/>
    <x v="4"/>
    <n v="90"/>
    <d v="2025-01-31T00:00:00"/>
    <x v="2"/>
    <s v="Mobile"/>
    <s v="India"/>
    <n v="18.5"/>
    <n v="0"/>
  </r>
  <r>
    <n v="76"/>
    <x v="3"/>
    <n v="97"/>
    <d v="2025-03-15T00:00:00"/>
    <x v="0"/>
    <s v="Desktop"/>
    <s v="India"/>
    <n v="40.46"/>
    <n v="0"/>
  </r>
  <r>
    <n v="77"/>
    <x v="1"/>
    <n v="52"/>
    <d v="2025-03-20T00:00:00"/>
    <x v="2"/>
    <s v="Desktop"/>
    <s v="India"/>
    <n v="48.49"/>
    <n v="1"/>
  </r>
  <r>
    <n v="78"/>
    <x v="1"/>
    <n v="86"/>
    <d v="2025-01-11T00:00:00"/>
    <x v="2"/>
    <s v="Desktop"/>
    <s v="India"/>
    <n v="32.03"/>
    <n v="1"/>
  </r>
  <r>
    <n v="79"/>
    <x v="3"/>
    <n v="82"/>
    <d v="2025-02-17T00:00:00"/>
    <x v="0"/>
    <s v="Desktop"/>
    <s v="India"/>
    <n v="11.96"/>
    <n v="0"/>
  </r>
  <r>
    <n v="80"/>
    <x v="1"/>
    <n v="10"/>
    <d v="2025-02-05T00:00:00"/>
    <x v="0"/>
    <s v="Mobile"/>
    <s v="India"/>
    <n v="33.39"/>
    <n v="0"/>
  </r>
  <r>
    <n v="81"/>
    <x v="2"/>
    <n v="30"/>
    <d v="2025-01-12T00:00:00"/>
    <x v="0"/>
    <s v="Desktop"/>
    <s v="India"/>
    <n v="22.21"/>
    <n v="1"/>
  </r>
  <r>
    <n v="82"/>
    <x v="4"/>
    <n v="5"/>
    <d v="2025-04-04T00:00:00"/>
    <x v="0"/>
    <s v="Tablet"/>
    <s v="India"/>
    <n v="7.35"/>
    <n v="0"/>
  </r>
  <r>
    <n v="83"/>
    <x v="1"/>
    <n v="53"/>
    <d v="2025-01-29T00:00:00"/>
    <x v="1"/>
    <s v="Tablet"/>
    <s v="India"/>
    <n v="45.41"/>
    <n v="0"/>
  </r>
  <r>
    <n v="84"/>
    <x v="0"/>
    <n v="70"/>
    <d v="2025-04-04T00:00:00"/>
    <x v="1"/>
    <s v="Desktop"/>
    <s v="India"/>
    <n v="29.58"/>
    <n v="0"/>
  </r>
  <r>
    <n v="85"/>
    <x v="0"/>
    <n v="36"/>
    <d v="2025-01-02T00:00:00"/>
    <x v="1"/>
    <s v="Mobile"/>
    <s v="India"/>
    <n v="4.99"/>
    <n v="1"/>
  </r>
  <r>
    <n v="86"/>
    <x v="4"/>
    <n v="43"/>
    <d v="2025-03-05T00:00:00"/>
    <x v="2"/>
    <s v="Tablet"/>
    <s v="India"/>
    <n v="15.99"/>
    <n v="1"/>
  </r>
  <r>
    <n v="87"/>
    <x v="2"/>
    <n v="85"/>
    <d v="2025-02-23T00:00:00"/>
    <x v="1"/>
    <s v="Mobile"/>
    <s v="India"/>
    <n v="25.71"/>
    <n v="0"/>
  </r>
  <r>
    <n v="88"/>
    <x v="3"/>
    <n v="69"/>
    <d v="2025-02-04T00:00:00"/>
    <x v="2"/>
    <s v="Desktop"/>
    <s v="India"/>
    <n v="4.04"/>
    <n v="1"/>
  </r>
  <r>
    <n v="89"/>
    <x v="1"/>
    <n v="3"/>
    <d v="2025-03-06T00:00:00"/>
    <x v="1"/>
    <s v="Desktop"/>
    <s v="India"/>
    <n v="22.45"/>
    <n v="1"/>
  </r>
  <r>
    <n v="90"/>
    <x v="4"/>
    <n v="49"/>
    <d v="2025-03-25T00:00:00"/>
    <x v="0"/>
    <s v="Desktop"/>
    <s v="India"/>
    <n v="33.49"/>
    <n v="0"/>
  </r>
  <r>
    <n v="91"/>
    <x v="0"/>
    <n v="65"/>
    <d v="2025-02-26T00:00:00"/>
    <x v="0"/>
    <s v="Tablet"/>
    <s v="India"/>
    <n v="42.2"/>
    <n v="1"/>
  </r>
  <r>
    <n v="92"/>
    <x v="1"/>
    <n v="2"/>
    <d v="2025-04-18T00:00:00"/>
    <x v="0"/>
    <s v="Tablet"/>
    <s v="India"/>
    <n v="20.05"/>
    <n v="0"/>
  </r>
  <r>
    <n v="93"/>
    <x v="4"/>
    <n v="30"/>
    <d v="2025-04-03T00:00:00"/>
    <x v="0"/>
    <s v="Mobile"/>
    <s v="India"/>
    <n v="44.14"/>
    <n v="1"/>
  </r>
  <r>
    <n v="94"/>
    <x v="2"/>
    <n v="38"/>
    <d v="2025-04-13T00:00:00"/>
    <x v="2"/>
    <s v="Tablet"/>
    <s v="India"/>
    <n v="28.59"/>
    <n v="1"/>
  </r>
  <r>
    <n v="95"/>
    <x v="2"/>
    <n v="13"/>
    <d v="2025-03-13T00:00:00"/>
    <x v="1"/>
    <s v="Tablet"/>
    <s v="India"/>
    <n v="42.66"/>
    <n v="0"/>
  </r>
  <r>
    <n v="96"/>
    <x v="4"/>
    <n v="70"/>
    <d v="2025-01-09T00:00:00"/>
    <x v="0"/>
    <s v="Mobile"/>
    <s v="India"/>
    <n v="26.51"/>
    <n v="1"/>
  </r>
  <r>
    <n v="97"/>
    <x v="3"/>
    <n v="49"/>
    <d v="2025-04-19T00:00:00"/>
    <x v="1"/>
    <s v="Mobile"/>
    <s v="India"/>
    <n v="36.74"/>
    <n v="0"/>
  </r>
  <r>
    <n v="98"/>
    <x v="1"/>
    <n v="88"/>
    <d v="2025-01-09T00:00:00"/>
    <x v="2"/>
    <s v="Desktop"/>
    <s v="India"/>
    <n v="17.28"/>
    <n v="0"/>
  </r>
  <r>
    <n v="99"/>
    <x v="0"/>
    <n v="14"/>
    <d v="2025-02-18T00:00:00"/>
    <x v="2"/>
    <s v="Mobile"/>
    <s v="India"/>
    <n v="44.43"/>
    <n v="0"/>
  </r>
  <r>
    <n v="100"/>
    <x v="1"/>
    <n v="59"/>
    <d v="2025-03-18T00:00:00"/>
    <x v="0"/>
    <s v="Desktop"/>
    <s v="India"/>
    <n v="41.93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"/>
    <n v="3"/>
    <n v="64"/>
    <d v="2025-04-14T00:00:00"/>
    <n v="3127.82"/>
    <x v="0"/>
    <n v="0"/>
  </r>
  <r>
    <n v="2"/>
    <n v="2"/>
    <n v="27"/>
    <d v="2025-01-18T00:00:00"/>
    <n v="7510.13"/>
    <x v="1"/>
    <n v="0"/>
  </r>
  <r>
    <n v="3"/>
    <n v="3"/>
    <n v="92"/>
    <d v="2025-01-16T00:00:00"/>
    <n v="8516.17"/>
    <x v="1"/>
    <n v="1"/>
  </r>
  <r>
    <n v="4"/>
    <n v="4"/>
    <n v="47"/>
    <d v="2025-03-09T00:00:00"/>
    <n v="2375.91"/>
    <x v="2"/>
    <n v="1"/>
  </r>
  <r>
    <n v="5"/>
    <n v="3"/>
    <n v="32"/>
    <d v="2025-03-17T00:00:00"/>
    <n v="7135.11"/>
    <x v="1"/>
    <n v="1"/>
  </r>
  <r>
    <n v="6"/>
    <n v="4"/>
    <n v="12"/>
    <d v="2025-01-27T00:00:00"/>
    <n v="5427.02"/>
    <x v="0"/>
    <n v="1"/>
  </r>
  <r>
    <n v="7"/>
    <n v="1"/>
    <n v="35"/>
    <d v="2025-03-26T00:00:00"/>
    <n v="8789.4500000000007"/>
    <x v="2"/>
    <n v="0"/>
  </r>
  <r>
    <n v="8"/>
    <n v="1"/>
    <n v="96"/>
    <d v="2025-02-07T00:00:00"/>
    <n v="2194.11"/>
    <x v="3"/>
    <n v="1"/>
  </r>
  <r>
    <n v="9"/>
    <n v="5"/>
    <n v="100"/>
    <d v="2025-04-07T00:00:00"/>
    <n v="2974.77"/>
    <x v="1"/>
    <n v="0"/>
  </r>
  <r>
    <n v="10"/>
    <n v="5"/>
    <n v="66"/>
    <d v="2025-02-14T00:00:00"/>
    <n v="4627.66"/>
    <x v="2"/>
    <n v="0"/>
  </r>
  <r>
    <n v="11"/>
    <n v="1"/>
    <n v="18"/>
    <d v="2025-03-02T00:00:00"/>
    <n v="7987.96"/>
    <x v="4"/>
    <n v="0"/>
  </r>
  <r>
    <n v="12"/>
    <n v="4"/>
    <n v="7"/>
    <d v="2025-03-29T00:00:00"/>
    <n v="4140.9799999999996"/>
    <x v="1"/>
    <n v="0"/>
  </r>
  <r>
    <n v="13"/>
    <n v="2"/>
    <n v="26"/>
    <d v="2025-01-21T00:00:00"/>
    <n v="1890.82"/>
    <x v="0"/>
    <n v="1"/>
  </r>
  <r>
    <n v="14"/>
    <n v="2"/>
    <n v="100"/>
    <d v="2025-01-22T00:00:00"/>
    <n v="5881.03"/>
    <x v="4"/>
    <n v="1"/>
  </r>
  <r>
    <n v="15"/>
    <n v="4"/>
    <n v="89"/>
    <d v="2025-02-05T00:00:00"/>
    <n v="5435.07"/>
    <x v="0"/>
    <n v="0"/>
  </r>
  <r>
    <n v="16"/>
    <n v="3"/>
    <n v="69"/>
    <d v="2025-04-11T00:00:00"/>
    <n v="6252.74"/>
    <x v="4"/>
    <n v="1"/>
  </r>
  <r>
    <n v="17"/>
    <n v="1"/>
    <n v="15"/>
    <d v="2025-01-26T00:00:00"/>
    <n v="1044.3699999999999"/>
    <x v="4"/>
    <n v="1"/>
  </r>
  <r>
    <n v="18"/>
    <n v="3"/>
    <n v="59"/>
    <d v="2025-03-09T00:00:00"/>
    <n v="8924.85"/>
    <x v="0"/>
    <n v="0"/>
  </r>
  <r>
    <n v="19"/>
    <n v="2"/>
    <n v="52"/>
    <d v="2025-03-13T00:00:00"/>
    <n v="6312.57"/>
    <x v="4"/>
    <n v="1"/>
  </r>
  <r>
    <n v="20"/>
    <n v="3"/>
    <n v="100"/>
    <d v="2025-03-15T00:00:00"/>
    <n v="4290.49"/>
    <x v="0"/>
    <n v="0"/>
  </r>
  <r>
    <n v="21"/>
    <n v="2"/>
    <n v="47"/>
    <d v="2025-02-24T00:00:00"/>
    <n v="5426.91"/>
    <x v="2"/>
    <n v="1"/>
  </r>
  <r>
    <n v="22"/>
    <n v="2"/>
    <n v="19"/>
    <d v="2025-02-21T00:00:00"/>
    <n v="7057.73"/>
    <x v="3"/>
    <n v="0"/>
  </r>
  <r>
    <n v="23"/>
    <n v="2"/>
    <n v="28"/>
    <d v="2025-01-03T00:00:00"/>
    <n v="9829.11"/>
    <x v="4"/>
    <n v="0"/>
  </r>
  <r>
    <n v="24"/>
    <n v="5"/>
    <n v="7"/>
    <d v="2025-04-14T00:00:00"/>
    <n v="7859.86"/>
    <x v="1"/>
    <n v="1"/>
  </r>
  <r>
    <n v="25"/>
    <n v="4"/>
    <n v="30"/>
    <d v="2025-01-21T00:00:00"/>
    <n v="2927.59"/>
    <x v="4"/>
    <n v="1"/>
  </r>
  <r>
    <n v="26"/>
    <n v="4"/>
    <n v="90"/>
    <d v="2025-03-25T00:00:00"/>
    <n v="8758.93"/>
    <x v="3"/>
    <n v="0"/>
  </r>
  <r>
    <n v="27"/>
    <n v="3"/>
    <n v="4"/>
    <d v="2025-03-22T00:00:00"/>
    <n v="5596.84"/>
    <x v="2"/>
    <n v="1"/>
  </r>
  <r>
    <n v="28"/>
    <n v="2"/>
    <n v="60"/>
    <d v="2025-02-02T00:00:00"/>
    <n v="7947.07"/>
    <x v="0"/>
    <n v="0"/>
  </r>
  <r>
    <n v="29"/>
    <n v="2"/>
    <n v="61"/>
    <d v="2025-02-20T00:00:00"/>
    <n v="9511.5300000000007"/>
    <x v="1"/>
    <n v="0"/>
  </r>
  <r>
    <n v="30"/>
    <n v="3"/>
    <n v="28"/>
    <d v="2025-02-07T00:00:00"/>
    <n v="7229.23"/>
    <x v="2"/>
    <n v="1"/>
  </r>
  <r>
    <n v="31"/>
    <n v="1"/>
    <n v="54"/>
    <d v="2025-04-08T00:00:00"/>
    <n v="4555.26"/>
    <x v="1"/>
    <n v="0"/>
  </r>
  <r>
    <n v="32"/>
    <n v="3"/>
    <n v="75"/>
    <d v="2025-04-01T00:00:00"/>
    <n v="9556.4599999999991"/>
    <x v="3"/>
    <n v="1"/>
  </r>
  <r>
    <n v="33"/>
    <n v="3"/>
    <n v="13"/>
    <d v="2025-04-05T00:00:00"/>
    <n v="5886.47"/>
    <x v="2"/>
    <n v="0"/>
  </r>
  <r>
    <n v="34"/>
    <n v="5"/>
    <n v="90"/>
    <d v="2025-02-16T00:00:00"/>
    <n v="5559.94"/>
    <x v="0"/>
    <n v="1"/>
  </r>
  <r>
    <n v="35"/>
    <n v="5"/>
    <n v="90"/>
    <d v="2025-03-03T00:00:00"/>
    <n v="2639.77"/>
    <x v="1"/>
    <n v="0"/>
  </r>
  <r>
    <n v="36"/>
    <n v="4"/>
    <n v="36"/>
    <d v="2025-02-07T00:00:00"/>
    <n v="9285.7000000000007"/>
    <x v="1"/>
    <n v="1"/>
  </r>
  <r>
    <n v="37"/>
    <n v="3"/>
    <n v="44"/>
    <d v="2025-01-09T00:00:00"/>
    <n v="3309.83"/>
    <x v="2"/>
    <n v="0"/>
  </r>
  <r>
    <n v="38"/>
    <n v="4"/>
    <n v="54"/>
    <d v="2025-04-05T00:00:00"/>
    <n v="6274.51"/>
    <x v="3"/>
    <n v="1"/>
  </r>
  <r>
    <n v="39"/>
    <n v="2"/>
    <n v="56"/>
    <d v="2025-04-19T00:00:00"/>
    <n v="3751.49"/>
    <x v="2"/>
    <n v="0"/>
  </r>
  <r>
    <n v="40"/>
    <n v="1"/>
    <n v="90"/>
    <d v="2025-03-15T00:00:00"/>
    <n v="5238.93"/>
    <x v="3"/>
    <n v="1"/>
  </r>
  <r>
    <n v="41"/>
    <n v="5"/>
    <n v="28"/>
    <d v="2025-04-13T00:00:00"/>
    <n v="1990.28"/>
    <x v="3"/>
    <n v="1"/>
  </r>
  <r>
    <n v="42"/>
    <n v="1"/>
    <n v="28"/>
    <d v="2025-03-11T00:00:00"/>
    <n v="8706.98"/>
    <x v="3"/>
    <n v="0"/>
  </r>
  <r>
    <n v="43"/>
    <n v="2"/>
    <n v="8"/>
    <d v="2025-03-25T00:00:00"/>
    <n v="1254.2"/>
    <x v="0"/>
    <n v="1"/>
  </r>
  <r>
    <n v="44"/>
    <n v="2"/>
    <n v="61"/>
    <d v="2025-04-05T00:00:00"/>
    <n v="9939.08"/>
    <x v="0"/>
    <n v="0"/>
  </r>
  <r>
    <n v="45"/>
    <n v="3"/>
    <n v="93"/>
    <d v="2025-04-14T00:00:00"/>
    <n v="6931.64"/>
    <x v="1"/>
    <n v="0"/>
  </r>
  <r>
    <n v="46"/>
    <n v="3"/>
    <n v="1"/>
    <d v="2025-04-13T00:00:00"/>
    <n v="9719.77"/>
    <x v="4"/>
    <n v="0"/>
  </r>
  <r>
    <n v="47"/>
    <n v="3"/>
    <n v="38"/>
    <d v="2025-03-26T00:00:00"/>
    <n v="1499.65"/>
    <x v="4"/>
    <n v="0"/>
  </r>
  <r>
    <n v="48"/>
    <n v="1"/>
    <n v="29"/>
    <d v="2025-01-09T00:00:00"/>
    <n v="9786.9"/>
    <x v="0"/>
    <n v="0"/>
  </r>
  <r>
    <n v="49"/>
    <n v="1"/>
    <n v="91"/>
    <d v="2025-03-29T00:00:00"/>
    <n v="8686.1"/>
    <x v="4"/>
    <n v="0"/>
  </r>
  <r>
    <n v="50"/>
    <n v="3"/>
    <n v="96"/>
    <d v="2025-02-17T00:00:00"/>
    <n v="4506.5600000000004"/>
    <x v="1"/>
    <n v="1"/>
  </r>
  <r>
    <n v="51"/>
    <n v="2"/>
    <n v="80"/>
    <d v="2025-02-23T00:00:00"/>
    <n v="1701.46"/>
    <x v="0"/>
    <n v="0"/>
  </r>
  <r>
    <n v="52"/>
    <n v="1"/>
    <n v="36"/>
    <d v="2025-01-21T00:00:00"/>
    <n v="4885.51"/>
    <x v="3"/>
    <n v="1"/>
  </r>
  <r>
    <n v="53"/>
    <n v="4"/>
    <n v="13"/>
    <d v="2025-01-08T00:00:00"/>
    <n v="502.21"/>
    <x v="3"/>
    <n v="0"/>
  </r>
  <r>
    <n v="54"/>
    <n v="3"/>
    <n v="91"/>
    <d v="2025-03-03T00:00:00"/>
    <n v="9734.31"/>
    <x v="3"/>
    <n v="1"/>
  </r>
  <r>
    <n v="55"/>
    <n v="2"/>
    <n v="56"/>
    <d v="2025-04-15T00:00:00"/>
    <n v="7806.39"/>
    <x v="3"/>
    <n v="1"/>
  </r>
  <r>
    <n v="56"/>
    <n v="1"/>
    <n v="45"/>
    <d v="2025-01-07T00:00:00"/>
    <n v="8982.2099999999991"/>
    <x v="1"/>
    <n v="1"/>
  </r>
  <r>
    <n v="57"/>
    <n v="2"/>
    <n v="50"/>
    <d v="2025-04-27T00:00:00"/>
    <n v="6408.81"/>
    <x v="1"/>
    <n v="0"/>
  </r>
  <r>
    <n v="58"/>
    <n v="5"/>
    <n v="49"/>
    <d v="2025-04-06T00:00:00"/>
    <n v="4922.12"/>
    <x v="2"/>
    <n v="0"/>
  </r>
  <r>
    <n v="59"/>
    <n v="4"/>
    <n v="3"/>
    <d v="2025-03-16T00:00:00"/>
    <n v="6430.73"/>
    <x v="4"/>
    <n v="1"/>
  </r>
  <r>
    <n v="60"/>
    <n v="2"/>
    <n v="16"/>
    <d v="2025-02-09T00:00:00"/>
    <n v="4664.91"/>
    <x v="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5344D-4B1A-41E4-8206-099BB3E38E6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0:N16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s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506E1-ACC0-47AF-AA50-345BC1E1640B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8:M22" firstHeaderRow="1" firstDataRow="1" firstDataCol="1"/>
  <pivotFields count="9">
    <pivotField dataField="1" showAll="0"/>
    <pivotField showAll="0"/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teraction_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95859-5CB3-47CE-B23B-3FAC88E15777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9:M15" firstHeaderRow="1" firstDataRow="1" firstDataCol="1"/>
  <pivotFields count="9">
    <pivotField dataField="1"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nteraction_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B3620-EAA0-4CB4-890E-4D41FADB3A58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1:K17" firstHeaderRow="1" firstDataRow="1" firstDataCol="1"/>
  <pivotFields count="7">
    <pivotField showAll="0"/>
    <pivotField showAll="0"/>
    <pivotField showAll="0"/>
    <pivotField numFmtId="164" showAll="0"/>
    <pivotField dataField="1" showAll="0"/>
    <pivotField axis="axisRow" showAll="0">
      <items count="6">
        <item x="2"/>
        <item x="3"/>
        <item x="1"/>
        <item x="4"/>
        <item x="0"/>
        <item t="default"/>
      </items>
    </pivotField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_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EC74A3-3FEC-4554-A0A0-FAB1F753C9E5}" name="Table1" displayName="Table1" ref="A1:J101" totalsRowShown="0">
  <autoFilter ref="A1:J101" xr:uid="{43EC74A3-3FEC-4554-A0A0-FAB1F753C9E5}"/>
  <tableColumns count="10">
    <tableColumn id="1" xr3:uid="{74DA6F31-9319-4E45-B2A4-A57BDB0E8E43}" name="Customer_id"/>
    <tableColumn id="2" xr3:uid="{F6DC0762-C1FF-4546-A5DC-CAA56C4D34BF}" name="first_name"/>
    <tableColumn id="3" xr3:uid="{5F3DCC96-1A7B-4126-826D-7F442A369A9D}" name="last_name"/>
    <tableColumn id="4" xr3:uid="{B4D592A6-7BF5-416F-9F5A-A9595DAACB6B}" name="gender"/>
    <tableColumn id="5" xr3:uid="{37FB2B26-1037-46BC-BC30-002E7667C207}" name="age"/>
    <tableColumn id="6" xr3:uid="{4E5ADC2E-F783-40A7-B11C-56C80838E54C}" name="city"/>
    <tableColumn id="7" xr3:uid="{CAD16BEA-DA56-4608-807B-7AA6554CBCB6}" name="state"/>
    <tableColumn id="8" xr3:uid="{B3B71048-2E4B-4271-87F2-05277477E652}" name="signup_date" dataDxfId="4"/>
    <tableColumn id="9" xr3:uid="{AA191102-C1C9-4CAA-8716-DDAC4178F941}" name="customer_segment"/>
    <tableColumn id="10" xr3:uid="{3357D699-8407-41E0-BBE5-740EDCE06CBC}" name="acquisition_chann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A449A9-BD83-43C3-95E9-96A841A44887}" name="Table2" displayName="Table2" ref="A1:I6" totalsRowShown="0">
  <autoFilter ref="A1:I6" xr:uid="{B4A449A9-BD83-43C3-95E9-96A841A44887}"/>
  <tableColumns count="9">
    <tableColumn id="1" xr3:uid="{A89DC855-A22E-4A28-99B1-7DA31FF4DC45}" name="campaign_id"/>
    <tableColumn id="2" xr3:uid="{E8531588-8A2D-419A-8B97-CD850B7A761A}" name="campaign_name"/>
    <tableColumn id="3" xr3:uid="{B19CB785-13C8-43A2-A35E-81045316E8D6}" name="campaign_type"/>
    <tableColumn id="4" xr3:uid="{AD67C860-5348-46AB-A9F1-21DE0D62B090}" name="start_date" dataDxfId="3"/>
    <tableColumn id="5" xr3:uid="{9054F112-9651-4002-9E8A-FA819386EF7A}" name="end_date" dataDxfId="2"/>
    <tableColumn id="6" xr3:uid="{BAF9F7A1-A89B-4897-ACA8-347A71D79B70}" name="budget"/>
    <tableColumn id="7" xr3:uid="{D288E9C9-57DF-4972-9FCF-5C3D6DC4308F}" name="target_audience_segment"/>
    <tableColumn id="8" xr3:uid="{3C75FFF4-92ED-4960-89E9-10581EB7F96C}" name="channel"/>
    <tableColumn id="9" xr3:uid="{3AF680F0-D109-4F91-AD66-B387A4140758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E6AB48-B9F4-4B09-BA61-CA34FD5C6209}" name="Table3" displayName="Table3" ref="A1:I101" totalsRowShown="0">
  <autoFilter ref="A1:I101" xr:uid="{85E6AB48-B9F4-4B09-BA61-CA34FD5C6209}"/>
  <tableColumns count="9">
    <tableColumn id="1" xr3:uid="{F845F18E-6223-4C50-A39B-14406041677E}" name="interaction_id"/>
    <tableColumn id="2" xr3:uid="{F306F617-0FF4-442B-BBDF-159E7D298979}" name="campaign_id"/>
    <tableColumn id="3" xr3:uid="{177A52C1-B88F-4448-91E0-A7A5B1143A28}" name="customer_id"/>
    <tableColumn id="4" xr3:uid="{E5031A53-4DA2-4BB7-9CFD-3DF9C527AC94}" name="interaction_date" dataDxfId="1"/>
    <tableColumn id="5" xr3:uid="{E827372C-46AE-4332-B30D-A5685FA9588B}" name="interaction_type"/>
    <tableColumn id="6" xr3:uid="{04D640A7-88FA-45F7-9C8E-9B80A32C6E78}" name="device_type"/>
    <tableColumn id="7" xr3:uid="{E3A27276-365D-41D5-B5BE-5620F37A80AB}" name="country"/>
    <tableColumn id="8" xr3:uid="{2CDF87B8-AFEF-4460-BC03-03A769DD8A26}" name="cost_per_click"/>
    <tableColumn id="9" xr3:uid="{EC64FF3E-665E-475B-B352-F5E8D68E8A1E}" name="converted_flag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CF75C7-A4A1-4D57-81B0-FFE89FD8942C}" name="Table4" displayName="Table4" ref="A1:G61" totalsRowShown="0">
  <tableColumns count="7">
    <tableColumn id="1" xr3:uid="{DB1552EC-15B1-4DA7-AAEC-3378AE3E57C8}" name="conversion_id"/>
    <tableColumn id="2" xr3:uid="{6F1346B8-791D-4BDA-B87C-562DEC592C40}" name="campaign_id"/>
    <tableColumn id="3" xr3:uid="{919A858B-9736-404E-91A6-8F5C9064DA66}" name="customer_id"/>
    <tableColumn id="4" xr3:uid="{CBB9345C-1236-4776-BF62-89CE7F16F78F}" name="conversion_date" dataDxfId="0"/>
    <tableColumn id="5" xr3:uid="{F9F5ACB1-7570-494D-88EF-09594A31EC76}" name="revenue_amount"/>
    <tableColumn id="6" xr3:uid="{1D959E32-3519-4BCC-9F1C-4E095091B9A2}" name="product_category"/>
    <tableColumn id="7" xr3:uid="{8F94C037-0ECE-47BA-8F8F-3A0C85FDDDF2}" name="discount_appli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workbookViewId="0">
      <selection activeCell="N11" sqref="N11"/>
    </sheetView>
  </sheetViews>
  <sheetFormatPr defaultRowHeight="14.4" x14ac:dyDescent="0.3"/>
  <cols>
    <col min="1" max="1" width="4.5546875" bestFit="1" customWidth="1"/>
    <col min="2" max="2" width="11.88671875" customWidth="1"/>
    <col min="3" max="3" width="11.5546875" customWidth="1"/>
    <col min="4" max="4" width="8.77734375" customWidth="1"/>
    <col min="5" max="5" width="5.88671875" customWidth="1"/>
    <col min="6" max="6" width="9.77734375" bestFit="1" customWidth="1"/>
    <col min="7" max="7" width="7" customWidth="1"/>
    <col min="8" max="8" width="13.21875" customWidth="1"/>
    <col min="9" max="9" width="19" customWidth="1"/>
    <col min="10" max="10" width="19.6640625" customWidth="1"/>
    <col min="13" max="13" width="12.5546875" bestFit="1" customWidth="1"/>
    <col min="14" max="14" width="17.88671875" bestFit="1" customWidth="1"/>
  </cols>
  <sheetData>
    <row r="1" spans="1:14" x14ac:dyDescent="0.3">
      <c r="A1" t="s">
        <v>93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4" x14ac:dyDescent="0.3">
      <c r="A2">
        <v>1</v>
      </c>
      <c r="B2" t="s">
        <v>10</v>
      </c>
      <c r="C2" t="s">
        <v>11</v>
      </c>
      <c r="D2" t="s">
        <v>12</v>
      </c>
      <c r="E2">
        <v>31</v>
      </c>
      <c r="F2" t="s">
        <v>13</v>
      </c>
      <c r="G2" t="s">
        <v>14</v>
      </c>
      <c r="H2" s="1">
        <v>45672</v>
      </c>
      <c r="I2" t="s">
        <v>15</v>
      </c>
      <c r="J2" t="s">
        <v>16</v>
      </c>
    </row>
    <row r="3" spans="1:14" x14ac:dyDescent="0.3">
      <c r="A3">
        <v>2</v>
      </c>
      <c r="B3" t="s">
        <v>17</v>
      </c>
      <c r="C3" t="s">
        <v>18</v>
      </c>
      <c r="D3" t="s">
        <v>19</v>
      </c>
      <c r="E3">
        <v>26</v>
      </c>
      <c r="F3" t="s">
        <v>20</v>
      </c>
      <c r="G3" t="s">
        <v>14</v>
      </c>
      <c r="H3" s="1">
        <v>45422</v>
      </c>
      <c r="I3" t="s">
        <v>21</v>
      </c>
      <c r="J3" t="s">
        <v>22</v>
      </c>
    </row>
    <row r="4" spans="1:14" x14ac:dyDescent="0.3">
      <c r="A4">
        <v>3</v>
      </c>
      <c r="B4" t="s">
        <v>23</v>
      </c>
      <c r="C4" t="s">
        <v>24</v>
      </c>
      <c r="D4" t="s">
        <v>19</v>
      </c>
      <c r="E4">
        <v>37</v>
      </c>
      <c r="F4" t="s">
        <v>25</v>
      </c>
      <c r="G4" t="s">
        <v>14</v>
      </c>
      <c r="H4" s="1">
        <v>45371</v>
      </c>
      <c r="I4" t="s">
        <v>15</v>
      </c>
      <c r="J4" t="s">
        <v>26</v>
      </c>
      <c r="M4" t="s">
        <v>89</v>
      </c>
    </row>
    <row r="5" spans="1:14" x14ac:dyDescent="0.3">
      <c r="A5">
        <v>4</v>
      </c>
      <c r="B5" t="s">
        <v>27</v>
      </c>
      <c r="C5" t="s">
        <v>28</v>
      </c>
      <c r="D5" t="s">
        <v>12</v>
      </c>
      <c r="E5">
        <v>22</v>
      </c>
      <c r="F5" t="s">
        <v>13</v>
      </c>
      <c r="G5" t="s">
        <v>14</v>
      </c>
      <c r="H5" s="1">
        <v>45632</v>
      </c>
      <c r="I5" t="s">
        <v>21</v>
      </c>
      <c r="J5" t="s">
        <v>26</v>
      </c>
      <c r="M5" t="s">
        <v>15</v>
      </c>
      <c r="N5">
        <f>COUNTIF(I:I,M5)</f>
        <v>32</v>
      </c>
    </row>
    <row r="6" spans="1:14" x14ac:dyDescent="0.3">
      <c r="A6">
        <v>5</v>
      </c>
      <c r="B6" t="s">
        <v>29</v>
      </c>
      <c r="C6" t="s">
        <v>30</v>
      </c>
      <c r="D6" t="s">
        <v>19</v>
      </c>
      <c r="E6">
        <v>28</v>
      </c>
      <c r="F6" t="s">
        <v>13</v>
      </c>
      <c r="G6" t="s">
        <v>14</v>
      </c>
      <c r="H6" s="1">
        <v>45503</v>
      </c>
      <c r="I6" t="s">
        <v>31</v>
      </c>
      <c r="J6" t="s">
        <v>32</v>
      </c>
      <c r="M6" t="s">
        <v>21</v>
      </c>
      <c r="N6">
        <f t="shared" ref="N6:N7" si="0">COUNTIF(I:I,M6)</f>
        <v>26</v>
      </c>
    </row>
    <row r="7" spans="1:14" x14ac:dyDescent="0.3">
      <c r="A7">
        <v>6</v>
      </c>
      <c r="B7" t="s">
        <v>23</v>
      </c>
      <c r="C7" t="s">
        <v>33</v>
      </c>
      <c r="D7" t="s">
        <v>12</v>
      </c>
      <c r="E7">
        <v>52</v>
      </c>
      <c r="F7" t="s">
        <v>20</v>
      </c>
      <c r="G7" t="s">
        <v>14</v>
      </c>
      <c r="H7" s="1">
        <v>45683</v>
      </c>
      <c r="I7" t="s">
        <v>21</v>
      </c>
      <c r="J7" t="s">
        <v>22</v>
      </c>
      <c r="M7" t="s">
        <v>31</v>
      </c>
      <c r="N7">
        <f t="shared" si="0"/>
        <v>42</v>
      </c>
    </row>
    <row r="8" spans="1:14" x14ac:dyDescent="0.3">
      <c r="A8">
        <v>7</v>
      </c>
      <c r="B8" t="s">
        <v>29</v>
      </c>
      <c r="C8" t="s">
        <v>34</v>
      </c>
      <c r="D8" t="s">
        <v>12</v>
      </c>
      <c r="E8">
        <v>32</v>
      </c>
      <c r="F8" t="s">
        <v>25</v>
      </c>
      <c r="G8" t="s">
        <v>14</v>
      </c>
      <c r="H8" s="1">
        <v>45348</v>
      </c>
      <c r="I8" t="s">
        <v>31</v>
      </c>
      <c r="J8" t="s">
        <v>35</v>
      </c>
    </row>
    <row r="9" spans="1:14" x14ac:dyDescent="0.3">
      <c r="A9">
        <v>8</v>
      </c>
      <c r="B9" t="s">
        <v>23</v>
      </c>
      <c r="C9" t="s">
        <v>18</v>
      </c>
      <c r="D9" t="s">
        <v>12</v>
      </c>
      <c r="E9">
        <v>35</v>
      </c>
      <c r="F9" t="s">
        <v>13</v>
      </c>
      <c r="G9" t="s">
        <v>14</v>
      </c>
      <c r="H9" s="1">
        <v>45488</v>
      </c>
      <c r="I9" t="s">
        <v>15</v>
      </c>
      <c r="J9" t="s">
        <v>26</v>
      </c>
      <c r="M9" t="s">
        <v>90</v>
      </c>
    </row>
    <row r="10" spans="1:14" x14ac:dyDescent="0.3">
      <c r="A10">
        <v>9</v>
      </c>
      <c r="B10" t="s">
        <v>36</v>
      </c>
      <c r="C10" t="s">
        <v>37</v>
      </c>
      <c r="D10" t="s">
        <v>12</v>
      </c>
      <c r="E10">
        <v>21</v>
      </c>
      <c r="F10" t="s">
        <v>38</v>
      </c>
      <c r="G10" t="s">
        <v>14</v>
      </c>
      <c r="H10" s="1">
        <v>45397</v>
      </c>
      <c r="I10" t="s">
        <v>31</v>
      </c>
      <c r="J10" t="s">
        <v>32</v>
      </c>
      <c r="M10" s="2" t="s">
        <v>91</v>
      </c>
      <c r="N10" t="s">
        <v>94</v>
      </c>
    </row>
    <row r="11" spans="1:14" x14ac:dyDescent="0.3">
      <c r="A11">
        <v>10</v>
      </c>
      <c r="B11" t="s">
        <v>27</v>
      </c>
      <c r="C11" t="s">
        <v>39</v>
      </c>
      <c r="D11" t="s">
        <v>19</v>
      </c>
      <c r="E11">
        <v>37</v>
      </c>
      <c r="F11" t="s">
        <v>40</v>
      </c>
      <c r="G11" t="s">
        <v>14</v>
      </c>
      <c r="H11" s="1">
        <v>45752</v>
      </c>
      <c r="I11" t="s">
        <v>31</v>
      </c>
      <c r="J11" t="s">
        <v>22</v>
      </c>
      <c r="M11" s="3" t="s">
        <v>26</v>
      </c>
      <c r="N11" s="4">
        <v>20</v>
      </c>
    </row>
    <row r="12" spans="1:14" x14ac:dyDescent="0.3">
      <c r="A12">
        <v>11</v>
      </c>
      <c r="B12" t="s">
        <v>10</v>
      </c>
      <c r="C12" t="s">
        <v>39</v>
      </c>
      <c r="D12" t="s">
        <v>19</v>
      </c>
      <c r="E12">
        <v>25</v>
      </c>
      <c r="F12" t="s">
        <v>20</v>
      </c>
      <c r="G12" t="s">
        <v>14</v>
      </c>
      <c r="H12" s="1">
        <v>45293</v>
      </c>
      <c r="I12" t="s">
        <v>21</v>
      </c>
      <c r="J12" t="s">
        <v>22</v>
      </c>
      <c r="M12" s="3" t="s">
        <v>22</v>
      </c>
      <c r="N12" s="4">
        <v>20</v>
      </c>
    </row>
    <row r="13" spans="1:14" x14ac:dyDescent="0.3">
      <c r="A13">
        <v>12</v>
      </c>
      <c r="B13" t="s">
        <v>41</v>
      </c>
      <c r="C13" t="s">
        <v>11</v>
      </c>
      <c r="D13" t="s">
        <v>12</v>
      </c>
      <c r="E13">
        <v>34</v>
      </c>
      <c r="F13" t="s">
        <v>25</v>
      </c>
      <c r="G13" t="s">
        <v>14</v>
      </c>
      <c r="H13" s="1">
        <v>45627</v>
      </c>
      <c r="I13" t="s">
        <v>31</v>
      </c>
      <c r="J13" t="s">
        <v>35</v>
      </c>
      <c r="M13" s="3" t="s">
        <v>16</v>
      </c>
      <c r="N13" s="4">
        <v>19</v>
      </c>
    </row>
    <row r="14" spans="1:14" x14ac:dyDescent="0.3">
      <c r="A14">
        <v>13</v>
      </c>
      <c r="B14" t="s">
        <v>42</v>
      </c>
      <c r="C14" t="s">
        <v>33</v>
      </c>
      <c r="D14" t="s">
        <v>19</v>
      </c>
      <c r="E14">
        <v>21</v>
      </c>
      <c r="F14" t="s">
        <v>38</v>
      </c>
      <c r="G14" t="s">
        <v>14</v>
      </c>
      <c r="H14" s="1">
        <v>45676</v>
      </c>
      <c r="I14" t="s">
        <v>15</v>
      </c>
      <c r="J14" t="s">
        <v>35</v>
      </c>
      <c r="M14" s="3" t="s">
        <v>35</v>
      </c>
      <c r="N14" s="4">
        <v>19</v>
      </c>
    </row>
    <row r="15" spans="1:14" x14ac:dyDescent="0.3">
      <c r="A15">
        <v>14</v>
      </c>
      <c r="B15" t="s">
        <v>41</v>
      </c>
      <c r="C15" t="s">
        <v>43</v>
      </c>
      <c r="D15" t="s">
        <v>19</v>
      </c>
      <c r="E15">
        <v>24</v>
      </c>
      <c r="F15" t="s">
        <v>13</v>
      </c>
      <c r="G15" t="s">
        <v>14</v>
      </c>
      <c r="H15" s="1">
        <v>45535</v>
      </c>
      <c r="I15" t="s">
        <v>21</v>
      </c>
      <c r="J15" t="s">
        <v>22</v>
      </c>
      <c r="M15" s="3" t="s">
        <v>32</v>
      </c>
      <c r="N15" s="4">
        <v>22</v>
      </c>
    </row>
    <row r="16" spans="1:14" x14ac:dyDescent="0.3">
      <c r="A16">
        <v>15</v>
      </c>
      <c r="B16" t="s">
        <v>41</v>
      </c>
      <c r="C16" t="s">
        <v>43</v>
      </c>
      <c r="D16" t="s">
        <v>19</v>
      </c>
      <c r="E16">
        <v>40</v>
      </c>
      <c r="F16" t="s">
        <v>13</v>
      </c>
      <c r="G16" t="s">
        <v>14</v>
      </c>
      <c r="H16" s="1">
        <v>45317</v>
      </c>
      <c r="I16" t="s">
        <v>15</v>
      </c>
      <c r="J16" t="s">
        <v>26</v>
      </c>
      <c r="M16" s="3" t="s">
        <v>92</v>
      </c>
      <c r="N16" s="4">
        <v>100</v>
      </c>
    </row>
    <row r="17" spans="1:10" x14ac:dyDescent="0.3">
      <c r="A17">
        <v>16</v>
      </c>
      <c r="B17" t="s">
        <v>44</v>
      </c>
      <c r="C17" t="s">
        <v>24</v>
      </c>
      <c r="D17" t="s">
        <v>12</v>
      </c>
      <c r="E17">
        <v>34</v>
      </c>
      <c r="F17" t="s">
        <v>13</v>
      </c>
      <c r="G17" t="s">
        <v>14</v>
      </c>
      <c r="H17" s="1">
        <v>45389</v>
      </c>
      <c r="I17" t="s">
        <v>15</v>
      </c>
      <c r="J17" t="s">
        <v>32</v>
      </c>
    </row>
    <row r="18" spans="1:10" x14ac:dyDescent="0.3">
      <c r="A18">
        <v>17</v>
      </c>
      <c r="B18" t="s">
        <v>23</v>
      </c>
      <c r="C18" t="s">
        <v>33</v>
      </c>
      <c r="D18" t="s">
        <v>19</v>
      </c>
      <c r="E18">
        <v>42</v>
      </c>
      <c r="F18" t="s">
        <v>13</v>
      </c>
      <c r="G18" t="s">
        <v>14</v>
      </c>
      <c r="H18" s="1">
        <v>45605</v>
      </c>
      <c r="I18" t="s">
        <v>21</v>
      </c>
      <c r="J18" t="s">
        <v>22</v>
      </c>
    </row>
    <row r="19" spans="1:10" x14ac:dyDescent="0.3">
      <c r="A19">
        <v>18</v>
      </c>
      <c r="B19" t="s">
        <v>23</v>
      </c>
      <c r="C19" t="s">
        <v>37</v>
      </c>
      <c r="D19" t="s">
        <v>19</v>
      </c>
      <c r="E19">
        <v>56</v>
      </c>
      <c r="F19" t="s">
        <v>20</v>
      </c>
      <c r="G19" t="s">
        <v>14</v>
      </c>
      <c r="H19" s="1">
        <v>45492</v>
      </c>
      <c r="I19" t="s">
        <v>31</v>
      </c>
      <c r="J19" t="s">
        <v>26</v>
      </c>
    </row>
    <row r="20" spans="1:10" x14ac:dyDescent="0.3">
      <c r="A20">
        <v>19</v>
      </c>
      <c r="B20" t="s">
        <v>45</v>
      </c>
      <c r="C20" t="s">
        <v>18</v>
      </c>
      <c r="D20" t="s">
        <v>12</v>
      </c>
      <c r="E20">
        <v>50</v>
      </c>
      <c r="F20" t="s">
        <v>38</v>
      </c>
      <c r="G20" t="s">
        <v>14</v>
      </c>
      <c r="H20" s="1">
        <v>45641</v>
      </c>
      <c r="I20" t="s">
        <v>21</v>
      </c>
      <c r="J20" t="s">
        <v>22</v>
      </c>
    </row>
    <row r="21" spans="1:10" x14ac:dyDescent="0.3">
      <c r="A21">
        <v>20</v>
      </c>
      <c r="B21" t="s">
        <v>23</v>
      </c>
      <c r="C21" t="s">
        <v>28</v>
      </c>
      <c r="D21" t="s">
        <v>12</v>
      </c>
      <c r="E21">
        <v>33</v>
      </c>
      <c r="F21" t="s">
        <v>38</v>
      </c>
      <c r="G21" t="s">
        <v>14</v>
      </c>
      <c r="H21" s="1">
        <v>45660</v>
      </c>
      <c r="I21" t="s">
        <v>21</v>
      </c>
      <c r="J21" t="s">
        <v>16</v>
      </c>
    </row>
    <row r="22" spans="1:10" x14ac:dyDescent="0.3">
      <c r="A22">
        <v>21</v>
      </c>
      <c r="B22" t="s">
        <v>29</v>
      </c>
      <c r="C22" t="s">
        <v>24</v>
      </c>
      <c r="D22" t="s">
        <v>19</v>
      </c>
      <c r="E22">
        <v>46</v>
      </c>
      <c r="F22" t="s">
        <v>13</v>
      </c>
      <c r="G22" t="s">
        <v>14</v>
      </c>
      <c r="H22" s="1">
        <v>45757</v>
      </c>
      <c r="I22" t="s">
        <v>31</v>
      </c>
      <c r="J22" t="s">
        <v>32</v>
      </c>
    </row>
    <row r="23" spans="1:10" x14ac:dyDescent="0.3">
      <c r="A23">
        <v>22</v>
      </c>
      <c r="B23" t="s">
        <v>10</v>
      </c>
      <c r="C23" t="s">
        <v>18</v>
      </c>
      <c r="D23" t="s">
        <v>19</v>
      </c>
      <c r="E23">
        <v>60</v>
      </c>
      <c r="F23" t="s">
        <v>13</v>
      </c>
      <c r="G23" t="s">
        <v>14</v>
      </c>
      <c r="H23" s="1">
        <v>45630</v>
      </c>
      <c r="I23" t="s">
        <v>21</v>
      </c>
      <c r="J23" t="s">
        <v>35</v>
      </c>
    </row>
    <row r="24" spans="1:10" x14ac:dyDescent="0.3">
      <c r="A24">
        <v>23</v>
      </c>
      <c r="B24" t="s">
        <v>41</v>
      </c>
      <c r="C24" t="s">
        <v>33</v>
      </c>
      <c r="D24" t="s">
        <v>19</v>
      </c>
      <c r="E24">
        <v>43</v>
      </c>
      <c r="F24" t="s">
        <v>38</v>
      </c>
      <c r="G24" t="s">
        <v>14</v>
      </c>
      <c r="H24" s="1">
        <v>45696</v>
      </c>
      <c r="I24" t="s">
        <v>21</v>
      </c>
      <c r="J24" t="s">
        <v>22</v>
      </c>
    </row>
    <row r="25" spans="1:10" x14ac:dyDescent="0.3">
      <c r="A25">
        <v>24</v>
      </c>
      <c r="B25" t="s">
        <v>17</v>
      </c>
      <c r="C25" t="s">
        <v>30</v>
      </c>
      <c r="D25" t="s">
        <v>19</v>
      </c>
      <c r="E25">
        <v>42</v>
      </c>
      <c r="F25" t="s">
        <v>20</v>
      </c>
      <c r="G25" t="s">
        <v>14</v>
      </c>
      <c r="H25" s="1">
        <v>45606</v>
      </c>
      <c r="I25" t="s">
        <v>31</v>
      </c>
      <c r="J25" t="s">
        <v>32</v>
      </c>
    </row>
    <row r="26" spans="1:10" x14ac:dyDescent="0.3">
      <c r="A26">
        <v>25</v>
      </c>
      <c r="B26" t="s">
        <v>23</v>
      </c>
      <c r="C26" t="s">
        <v>39</v>
      </c>
      <c r="D26" t="s">
        <v>19</v>
      </c>
      <c r="E26">
        <v>46</v>
      </c>
      <c r="F26" t="s">
        <v>20</v>
      </c>
      <c r="G26" t="s">
        <v>14</v>
      </c>
      <c r="H26" s="1">
        <v>45385</v>
      </c>
      <c r="I26" t="s">
        <v>15</v>
      </c>
      <c r="J26" t="s">
        <v>16</v>
      </c>
    </row>
    <row r="27" spans="1:10" x14ac:dyDescent="0.3">
      <c r="A27">
        <v>26</v>
      </c>
      <c r="B27" t="s">
        <v>23</v>
      </c>
      <c r="C27" t="s">
        <v>30</v>
      </c>
      <c r="D27" t="s">
        <v>19</v>
      </c>
      <c r="E27">
        <v>35</v>
      </c>
      <c r="F27" t="s">
        <v>13</v>
      </c>
      <c r="G27" t="s">
        <v>14</v>
      </c>
      <c r="H27" s="1">
        <v>45374</v>
      </c>
      <c r="I27" t="s">
        <v>15</v>
      </c>
      <c r="J27" t="s">
        <v>35</v>
      </c>
    </row>
    <row r="28" spans="1:10" x14ac:dyDescent="0.3">
      <c r="A28">
        <v>27</v>
      </c>
      <c r="B28" t="s">
        <v>36</v>
      </c>
      <c r="C28" t="s">
        <v>11</v>
      </c>
      <c r="D28" t="s">
        <v>12</v>
      </c>
      <c r="E28">
        <v>51</v>
      </c>
      <c r="F28" t="s">
        <v>20</v>
      </c>
      <c r="G28" t="s">
        <v>14</v>
      </c>
      <c r="H28" s="1">
        <v>45338</v>
      </c>
      <c r="I28" t="s">
        <v>31</v>
      </c>
      <c r="J28" t="s">
        <v>26</v>
      </c>
    </row>
    <row r="29" spans="1:10" x14ac:dyDescent="0.3">
      <c r="A29">
        <v>28</v>
      </c>
      <c r="B29" t="s">
        <v>29</v>
      </c>
      <c r="C29" t="s">
        <v>34</v>
      </c>
      <c r="D29" t="s">
        <v>12</v>
      </c>
      <c r="E29">
        <v>38</v>
      </c>
      <c r="F29" t="s">
        <v>38</v>
      </c>
      <c r="G29" t="s">
        <v>14</v>
      </c>
      <c r="H29" s="1">
        <v>45564</v>
      </c>
      <c r="I29" t="s">
        <v>31</v>
      </c>
      <c r="J29" t="s">
        <v>16</v>
      </c>
    </row>
    <row r="30" spans="1:10" x14ac:dyDescent="0.3">
      <c r="A30">
        <v>29</v>
      </c>
      <c r="B30" t="s">
        <v>29</v>
      </c>
      <c r="C30" t="s">
        <v>43</v>
      </c>
      <c r="D30" t="s">
        <v>12</v>
      </c>
      <c r="E30">
        <v>52</v>
      </c>
      <c r="F30" t="s">
        <v>25</v>
      </c>
      <c r="G30" t="s">
        <v>14</v>
      </c>
      <c r="H30" s="1">
        <v>45551</v>
      </c>
      <c r="I30" t="s">
        <v>31</v>
      </c>
      <c r="J30" t="s">
        <v>16</v>
      </c>
    </row>
    <row r="31" spans="1:10" x14ac:dyDescent="0.3">
      <c r="A31">
        <v>30</v>
      </c>
      <c r="B31" t="s">
        <v>36</v>
      </c>
      <c r="C31" t="s">
        <v>39</v>
      </c>
      <c r="D31" t="s">
        <v>19</v>
      </c>
      <c r="E31">
        <v>40</v>
      </c>
      <c r="F31" t="s">
        <v>38</v>
      </c>
      <c r="G31" t="s">
        <v>14</v>
      </c>
      <c r="H31" s="1">
        <v>45359</v>
      </c>
      <c r="I31" t="s">
        <v>31</v>
      </c>
      <c r="J31" t="s">
        <v>32</v>
      </c>
    </row>
    <row r="32" spans="1:10" x14ac:dyDescent="0.3">
      <c r="A32">
        <v>31</v>
      </c>
      <c r="B32" t="s">
        <v>36</v>
      </c>
      <c r="C32" t="s">
        <v>30</v>
      </c>
      <c r="D32" t="s">
        <v>19</v>
      </c>
      <c r="E32">
        <v>20</v>
      </c>
      <c r="F32" t="s">
        <v>40</v>
      </c>
      <c r="G32" t="s">
        <v>14</v>
      </c>
      <c r="H32" s="1">
        <v>45319</v>
      </c>
      <c r="I32" t="s">
        <v>21</v>
      </c>
      <c r="J32" t="s">
        <v>32</v>
      </c>
    </row>
    <row r="33" spans="1:10" x14ac:dyDescent="0.3">
      <c r="A33">
        <v>32</v>
      </c>
      <c r="B33" t="s">
        <v>17</v>
      </c>
      <c r="C33" t="s">
        <v>28</v>
      </c>
      <c r="D33" t="s">
        <v>19</v>
      </c>
      <c r="E33">
        <v>58</v>
      </c>
      <c r="F33" t="s">
        <v>40</v>
      </c>
      <c r="G33" t="s">
        <v>14</v>
      </c>
      <c r="H33" s="1">
        <v>45610</v>
      </c>
      <c r="I33" t="s">
        <v>31</v>
      </c>
      <c r="J33" t="s">
        <v>26</v>
      </c>
    </row>
    <row r="34" spans="1:10" x14ac:dyDescent="0.3">
      <c r="A34">
        <v>33</v>
      </c>
      <c r="B34" t="s">
        <v>45</v>
      </c>
      <c r="C34" t="s">
        <v>28</v>
      </c>
      <c r="D34" t="s">
        <v>19</v>
      </c>
      <c r="E34">
        <v>24</v>
      </c>
      <c r="F34" t="s">
        <v>13</v>
      </c>
      <c r="G34" t="s">
        <v>14</v>
      </c>
      <c r="H34" s="1">
        <v>45643</v>
      </c>
      <c r="I34" t="s">
        <v>15</v>
      </c>
      <c r="J34" t="s">
        <v>32</v>
      </c>
    </row>
    <row r="35" spans="1:10" x14ac:dyDescent="0.3">
      <c r="A35">
        <v>34</v>
      </c>
      <c r="B35" t="s">
        <v>10</v>
      </c>
      <c r="C35" t="s">
        <v>11</v>
      </c>
      <c r="D35" t="s">
        <v>19</v>
      </c>
      <c r="E35">
        <v>40</v>
      </c>
      <c r="F35" t="s">
        <v>25</v>
      </c>
      <c r="G35" t="s">
        <v>14</v>
      </c>
      <c r="H35" s="1">
        <v>45685</v>
      </c>
      <c r="I35" t="s">
        <v>31</v>
      </c>
      <c r="J35" t="s">
        <v>16</v>
      </c>
    </row>
    <row r="36" spans="1:10" x14ac:dyDescent="0.3">
      <c r="A36">
        <v>35</v>
      </c>
      <c r="B36" t="s">
        <v>10</v>
      </c>
      <c r="C36" t="s">
        <v>37</v>
      </c>
      <c r="D36" t="s">
        <v>19</v>
      </c>
      <c r="E36">
        <v>31</v>
      </c>
      <c r="F36" t="s">
        <v>20</v>
      </c>
      <c r="G36" t="s">
        <v>14</v>
      </c>
      <c r="H36" s="1">
        <v>45456</v>
      </c>
      <c r="I36" t="s">
        <v>21</v>
      </c>
      <c r="J36" t="s">
        <v>32</v>
      </c>
    </row>
    <row r="37" spans="1:10" x14ac:dyDescent="0.3">
      <c r="A37">
        <v>36</v>
      </c>
      <c r="B37" t="s">
        <v>17</v>
      </c>
      <c r="C37" t="s">
        <v>34</v>
      </c>
      <c r="D37" t="s">
        <v>12</v>
      </c>
      <c r="E37">
        <v>20</v>
      </c>
      <c r="F37" t="s">
        <v>13</v>
      </c>
      <c r="G37" t="s">
        <v>14</v>
      </c>
      <c r="H37" s="1">
        <v>45666</v>
      </c>
      <c r="I37" t="s">
        <v>31</v>
      </c>
      <c r="J37" t="s">
        <v>22</v>
      </c>
    </row>
    <row r="38" spans="1:10" x14ac:dyDescent="0.3">
      <c r="A38">
        <v>37</v>
      </c>
      <c r="B38" t="s">
        <v>10</v>
      </c>
      <c r="C38" t="s">
        <v>33</v>
      </c>
      <c r="D38" t="s">
        <v>19</v>
      </c>
      <c r="E38">
        <v>48</v>
      </c>
      <c r="F38" t="s">
        <v>20</v>
      </c>
      <c r="G38" t="s">
        <v>14</v>
      </c>
      <c r="H38" s="1">
        <v>45323</v>
      </c>
      <c r="I38" t="s">
        <v>15</v>
      </c>
      <c r="J38" t="s">
        <v>22</v>
      </c>
    </row>
    <row r="39" spans="1:10" x14ac:dyDescent="0.3">
      <c r="A39">
        <v>38</v>
      </c>
      <c r="B39" t="s">
        <v>41</v>
      </c>
      <c r="C39" t="s">
        <v>39</v>
      </c>
      <c r="D39" t="s">
        <v>19</v>
      </c>
      <c r="E39">
        <v>23</v>
      </c>
      <c r="F39" t="s">
        <v>38</v>
      </c>
      <c r="G39" t="s">
        <v>14</v>
      </c>
      <c r="H39" s="1">
        <v>45489</v>
      </c>
      <c r="I39" t="s">
        <v>21</v>
      </c>
      <c r="J39" t="s">
        <v>26</v>
      </c>
    </row>
    <row r="40" spans="1:10" x14ac:dyDescent="0.3">
      <c r="A40">
        <v>39</v>
      </c>
      <c r="B40" t="s">
        <v>10</v>
      </c>
      <c r="C40" t="s">
        <v>43</v>
      </c>
      <c r="D40" t="s">
        <v>19</v>
      </c>
      <c r="E40">
        <v>60</v>
      </c>
      <c r="F40" t="s">
        <v>40</v>
      </c>
      <c r="G40" t="s">
        <v>14</v>
      </c>
      <c r="H40" s="1">
        <v>45438</v>
      </c>
      <c r="I40" t="s">
        <v>15</v>
      </c>
      <c r="J40" t="s">
        <v>32</v>
      </c>
    </row>
    <row r="41" spans="1:10" x14ac:dyDescent="0.3">
      <c r="A41">
        <v>40</v>
      </c>
      <c r="B41" t="s">
        <v>44</v>
      </c>
      <c r="C41" t="s">
        <v>24</v>
      </c>
      <c r="D41" t="s">
        <v>19</v>
      </c>
      <c r="E41">
        <v>22</v>
      </c>
      <c r="F41" t="s">
        <v>20</v>
      </c>
      <c r="G41" t="s">
        <v>14</v>
      </c>
      <c r="H41" s="1">
        <v>45386</v>
      </c>
      <c r="I41" t="s">
        <v>31</v>
      </c>
      <c r="J41" t="s">
        <v>35</v>
      </c>
    </row>
    <row r="42" spans="1:10" x14ac:dyDescent="0.3">
      <c r="A42">
        <v>41</v>
      </c>
      <c r="B42" t="s">
        <v>45</v>
      </c>
      <c r="C42" t="s">
        <v>43</v>
      </c>
      <c r="D42" t="s">
        <v>19</v>
      </c>
      <c r="E42">
        <v>25</v>
      </c>
      <c r="F42" t="s">
        <v>25</v>
      </c>
      <c r="G42" t="s">
        <v>14</v>
      </c>
      <c r="H42" s="1">
        <v>45643</v>
      </c>
      <c r="I42" t="s">
        <v>31</v>
      </c>
      <c r="J42" t="s">
        <v>16</v>
      </c>
    </row>
    <row r="43" spans="1:10" x14ac:dyDescent="0.3">
      <c r="A43">
        <v>42</v>
      </c>
      <c r="B43" t="s">
        <v>44</v>
      </c>
      <c r="C43" t="s">
        <v>24</v>
      </c>
      <c r="D43" t="s">
        <v>12</v>
      </c>
      <c r="E43">
        <v>45</v>
      </c>
      <c r="F43" t="s">
        <v>40</v>
      </c>
      <c r="G43" t="s">
        <v>14</v>
      </c>
      <c r="H43" s="1">
        <v>45342</v>
      </c>
      <c r="I43" t="s">
        <v>31</v>
      </c>
      <c r="J43" t="s">
        <v>32</v>
      </c>
    </row>
    <row r="44" spans="1:10" x14ac:dyDescent="0.3">
      <c r="A44">
        <v>43</v>
      </c>
      <c r="B44" t="s">
        <v>42</v>
      </c>
      <c r="C44" t="s">
        <v>24</v>
      </c>
      <c r="D44" t="s">
        <v>12</v>
      </c>
      <c r="E44">
        <v>58</v>
      </c>
      <c r="F44" t="s">
        <v>25</v>
      </c>
      <c r="G44" t="s">
        <v>14</v>
      </c>
      <c r="H44" s="1">
        <v>45755</v>
      </c>
      <c r="I44" t="s">
        <v>15</v>
      </c>
      <c r="J44" t="s">
        <v>26</v>
      </c>
    </row>
    <row r="45" spans="1:10" x14ac:dyDescent="0.3">
      <c r="A45">
        <v>44</v>
      </c>
      <c r="B45" t="s">
        <v>10</v>
      </c>
      <c r="C45" t="s">
        <v>18</v>
      </c>
      <c r="D45" t="s">
        <v>12</v>
      </c>
      <c r="E45">
        <v>28</v>
      </c>
      <c r="F45" t="s">
        <v>13</v>
      </c>
      <c r="G45" t="s">
        <v>14</v>
      </c>
      <c r="H45" s="1">
        <v>45679</v>
      </c>
      <c r="I45" t="s">
        <v>15</v>
      </c>
      <c r="J45" t="s">
        <v>32</v>
      </c>
    </row>
    <row r="46" spans="1:10" x14ac:dyDescent="0.3">
      <c r="A46">
        <v>45</v>
      </c>
      <c r="B46" t="s">
        <v>23</v>
      </c>
      <c r="C46" t="s">
        <v>37</v>
      </c>
      <c r="D46" t="s">
        <v>19</v>
      </c>
      <c r="E46">
        <v>42</v>
      </c>
      <c r="F46" t="s">
        <v>40</v>
      </c>
      <c r="G46" t="s">
        <v>14</v>
      </c>
      <c r="H46" s="1">
        <v>45610</v>
      </c>
      <c r="I46" t="s">
        <v>31</v>
      </c>
      <c r="J46" t="s">
        <v>22</v>
      </c>
    </row>
    <row r="47" spans="1:10" x14ac:dyDescent="0.3">
      <c r="A47">
        <v>46</v>
      </c>
      <c r="B47" t="s">
        <v>42</v>
      </c>
      <c r="C47" t="s">
        <v>43</v>
      </c>
      <c r="D47" t="s">
        <v>19</v>
      </c>
      <c r="E47">
        <v>49</v>
      </c>
      <c r="F47" t="s">
        <v>38</v>
      </c>
      <c r="G47" t="s">
        <v>14</v>
      </c>
      <c r="H47" s="1">
        <v>45364</v>
      </c>
      <c r="I47" t="s">
        <v>21</v>
      </c>
      <c r="J47" t="s">
        <v>22</v>
      </c>
    </row>
    <row r="48" spans="1:10" x14ac:dyDescent="0.3">
      <c r="A48">
        <v>47</v>
      </c>
      <c r="B48" t="s">
        <v>23</v>
      </c>
      <c r="C48" t="s">
        <v>34</v>
      </c>
      <c r="D48" t="s">
        <v>19</v>
      </c>
      <c r="E48">
        <v>36</v>
      </c>
      <c r="F48" t="s">
        <v>40</v>
      </c>
      <c r="G48" t="s">
        <v>14</v>
      </c>
      <c r="H48" s="1">
        <v>45752</v>
      </c>
      <c r="I48" t="s">
        <v>15</v>
      </c>
      <c r="J48" t="s">
        <v>22</v>
      </c>
    </row>
    <row r="49" spans="1:10" x14ac:dyDescent="0.3">
      <c r="A49">
        <v>48</v>
      </c>
      <c r="B49" t="s">
        <v>44</v>
      </c>
      <c r="C49" t="s">
        <v>33</v>
      </c>
      <c r="D49" t="s">
        <v>12</v>
      </c>
      <c r="E49">
        <v>48</v>
      </c>
      <c r="F49" t="s">
        <v>25</v>
      </c>
      <c r="G49" t="s">
        <v>14</v>
      </c>
      <c r="H49" s="1">
        <v>45540</v>
      </c>
      <c r="I49" t="s">
        <v>21</v>
      </c>
      <c r="J49" t="s">
        <v>26</v>
      </c>
    </row>
    <row r="50" spans="1:10" x14ac:dyDescent="0.3">
      <c r="A50">
        <v>49</v>
      </c>
      <c r="B50" t="s">
        <v>41</v>
      </c>
      <c r="C50" t="s">
        <v>18</v>
      </c>
      <c r="D50" t="s">
        <v>19</v>
      </c>
      <c r="E50">
        <v>59</v>
      </c>
      <c r="F50" t="s">
        <v>13</v>
      </c>
      <c r="G50" t="s">
        <v>14</v>
      </c>
      <c r="H50" s="1">
        <v>45326</v>
      </c>
      <c r="I50" t="s">
        <v>21</v>
      </c>
      <c r="J50" t="s">
        <v>35</v>
      </c>
    </row>
    <row r="51" spans="1:10" x14ac:dyDescent="0.3">
      <c r="A51">
        <v>50</v>
      </c>
      <c r="B51" t="s">
        <v>29</v>
      </c>
      <c r="C51" t="s">
        <v>11</v>
      </c>
      <c r="D51" t="s">
        <v>19</v>
      </c>
      <c r="E51">
        <v>37</v>
      </c>
      <c r="F51" t="s">
        <v>38</v>
      </c>
      <c r="G51" t="s">
        <v>14</v>
      </c>
      <c r="H51" s="1">
        <v>45489</v>
      </c>
      <c r="I51" t="s">
        <v>15</v>
      </c>
      <c r="J51" t="s">
        <v>22</v>
      </c>
    </row>
    <row r="52" spans="1:10" x14ac:dyDescent="0.3">
      <c r="A52">
        <v>51</v>
      </c>
      <c r="B52" t="s">
        <v>17</v>
      </c>
      <c r="C52" t="s">
        <v>11</v>
      </c>
      <c r="D52" t="s">
        <v>12</v>
      </c>
      <c r="E52">
        <v>18</v>
      </c>
      <c r="F52" t="s">
        <v>13</v>
      </c>
      <c r="G52" t="s">
        <v>14</v>
      </c>
      <c r="H52" s="1">
        <v>45294</v>
      </c>
      <c r="I52" t="s">
        <v>21</v>
      </c>
      <c r="J52" t="s">
        <v>16</v>
      </c>
    </row>
    <row r="53" spans="1:10" x14ac:dyDescent="0.3">
      <c r="A53">
        <v>52</v>
      </c>
      <c r="B53" t="s">
        <v>27</v>
      </c>
      <c r="C53" t="s">
        <v>24</v>
      </c>
      <c r="D53" t="s">
        <v>12</v>
      </c>
      <c r="E53">
        <v>26</v>
      </c>
      <c r="F53" t="s">
        <v>38</v>
      </c>
      <c r="G53" t="s">
        <v>14</v>
      </c>
      <c r="H53" s="1">
        <v>45319</v>
      </c>
      <c r="I53" t="s">
        <v>21</v>
      </c>
      <c r="J53" t="s">
        <v>22</v>
      </c>
    </row>
    <row r="54" spans="1:10" x14ac:dyDescent="0.3">
      <c r="A54">
        <v>53</v>
      </c>
      <c r="B54" t="s">
        <v>23</v>
      </c>
      <c r="C54" t="s">
        <v>24</v>
      </c>
      <c r="D54" t="s">
        <v>12</v>
      </c>
      <c r="E54">
        <v>57</v>
      </c>
      <c r="F54" t="s">
        <v>40</v>
      </c>
      <c r="G54" t="s">
        <v>14</v>
      </c>
      <c r="H54" s="1">
        <v>45337</v>
      </c>
      <c r="I54" t="s">
        <v>31</v>
      </c>
      <c r="J54" t="s">
        <v>26</v>
      </c>
    </row>
    <row r="55" spans="1:10" x14ac:dyDescent="0.3">
      <c r="A55">
        <v>54</v>
      </c>
      <c r="B55" t="s">
        <v>23</v>
      </c>
      <c r="C55" t="s">
        <v>39</v>
      </c>
      <c r="D55" t="s">
        <v>19</v>
      </c>
      <c r="E55">
        <v>49</v>
      </c>
      <c r="F55" t="s">
        <v>40</v>
      </c>
      <c r="G55" t="s">
        <v>14</v>
      </c>
      <c r="H55" s="1">
        <v>45760</v>
      </c>
      <c r="I55" t="s">
        <v>31</v>
      </c>
      <c r="J55" t="s">
        <v>16</v>
      </c>
    </row>
    <row r="56" spans="1:10" x14ac:dyDescent="0.3">
      <c r="A56">
        <v>55</v>
      </c>
      <c r="B56" t="s">
        <v>29</v>
      </c>
      <c r="C56" t="s">
        <v>43</v>
      </c>
      <c r="D56" t="s">
        <v>12</v>
      </c>
      <c r="E56">
        <v>59</v>
      </c>
      <c r="F56" t="s">
        <v>20</v>
      </c>
      <c r="G56" t="s">
        <v>14</v>
      </c>
      <c r="H56" s="1">
        <v>45673</v>
      </c>
      <c r="I56" t="s">
        <v>21</v>
      </c>
      <c r="J56" t="s">
        <v>22</v>
      </c>
    </row>
    <row r="57" spans="1:10" x14ac:dyDescent="0.3">
      <c r="A57">
        <v>56</v>
      </c>
      <c r="B57" t="s">
        <v>27</v>
      </c>
      <c r="C57" t="s">
        <v>11</v>
      </c>
      <c r="D57" t="s">
        <v>19</v>
      </c>
      <c r="E57">
        <v>50</v>
      </c>
      <c r="F57" t="s">
        <v>20</v>
      </c>
      <c r="G57" t="s">
        <v>14</v>
      </c>
      <c r="H57" s="1">
        <v>45779</v>
      </c>
      <c r="I57" t="s">
        <v>31</v>
      </c>
      <c r="J57" t="s">
        <v>35</v>
      </c>
    </row>
    <row r="58" spans="1:10" x14ac:dyDescent="0.3">
      <c r="A58">
        <v>57</v>
      </c>
      <c r="B58" t="s">
        <v>29</v>
      </c>
      <c r="C58" t="s">
        <v>24</v>
      </c>
      <c r="D58" t="s">
        <v>12</v>
      </c>
      <c r="E58">
        <v>52</v>
      </c>
      <c r="F58" t="s">
        <v>20</v>
      </c>
      <c r="G58" t="s">
        <v>14</v>
      </c>
      <c r="H58" s="1">
        <v>45554</v>
      </c>
      <c r="I58" t="s">
        <v>31</v>
      </c>
      <c r="J58" t="s">
        <v>26</v>
      </c>
    </row>
    <row r="59" spans="1:10" x14ac:dyDescent="0.3">
      <c r="A59">
        <v>58</v>
      </c>
      <c r="B59" t="s">
        <v>10</v>
      </c>
      <c r="C59" t="s">
        <v>24</v>
      </c>
      <c r="D59" t="s">
        <v>19</v>
      </c>
      <c r="E59">
        <v>19</v>
      </c>
      <c r="F59" t="s">
        <v>38</v>
      </c>
      <c r="G59" t="s">
        <v>14</v>
      </c>
      <c r="H59" s="1">
        <v>45318</v>
      </c>
      <c r="I59" t="s">
        <v>15</v>
      </c>
      <c r="J59" t="s">
        <v>16</v>
      </c>
    </row>
    <row r="60" spans="1:10" x14ac:dyDescent="0.3">
      <c r="A60">
        <v>59</v>
      </c>
      <c r="B60" t="s">
        <v>45</v>
      </c>
      <c r="C60" t="s">
        <v>43</v>
      </c>
      <c r="D60" t="s">
        <v>12</v>
      </c>
      <c r="E60">
        <v>44</v>
      </c>
      <c r="F60" t="s">
        <v>38</v>
      </c>
      <c r="G60" t="s">
        <v>14</v>
      </c>
      <c r="H60" s="1">
        <v>45333</v>
      </c>
      <c r="I60" t="s">
        <v>15</v>
      </c>
      <c r="J60" t="s">
        <v>35</v>
      </c>
    </row>
    <row r="61" spans="1:10" x14ac:dyDescent="0.3">
      <c r="A61">
        <v>60</v>
      </c>
      <c r="B61" t="s">
        <v>10</v>
      </c>
      <c r="C61" t="s">
        <v>37</v>
      </c>
      <c r="D61" t="s">
        <v>12</v>
      </c>
      <c r="E61">
        <v>44</v>
      </c>
      <c r="F61" t="s">
        <v>20</v>
      </c>
      <c r="G61" t="s">
        <v>14</v>
      </c>
      <c r="H61" s="1">
        <v>45660</v>
      </c>
      <c r="I61" t="s">
        <v>31</v>
      </c>
      <c r="J61" t="s">
        <v>26</v>
      </c>
    </row>
    <row r="62" spans="1:10" x14ac:dyDescent="0.3">
      <c r="A62">
        <v>61</v>
      </c>
      <c r="B62" t="s">
        <v>44</v>
      </c>
      <c r="C62" t="s">
        <v>11</v>
      </c>
      <c r="D62" t="s">
        <v>19</v>
      </c>
      <c r="E62">
        <v>49</v>
      </c>
      <c r="F62" t="s">
        <v>13</v>
      </c>
      <c r="G62" t="s">
        <v>14</v>
      </c>
      <c r="H62" s="1">
        <v>45609</v>
      </c>
      <c r="I62" t="s">
        <v>31</v>
      </c>
      <c r="J62" t="s">
        <v>26</v>
      </c>
    </row>
    <row r="63" spans="1:10" x14ac:dyDescent="0.3">
      <c r="A63">
        <v>62</v>
      </c>
      <c r="B63" t="s">
        <v>23</v>
      </c>
      <c r="C63" t="s">
        <v>11</v>
      </c>
      <c r="D63" t="s">
        <v>12</v>
      </c>
      <c r="E63">
        <v>22</v>
      </c>
      <c r="F63" t="s">
        <v>25</v>
      </c>
      <c r="G63" t="s">
        <v>14</v>
      </c>
      <c r="H63" s="1">
        <v>45369</v>
      </c>
      <c r="I63" t="s">
        <v>15</v>
      </c>
      <c r="J63" t="s">
        <v>35</v>
      </c>
    </row>
    <row r="64" spans="1:10" x14ac:dyDescent="0.3">
      <c r="A64">
        <v>63</v>
      </c>
      <c r="B64" t="s">
        <v>23</v>
      </c>
      <c r="C64" t="s">
        <v>34</v>
      </c>
      <c r="D64" t="s">
        <v>19</v>
      </c>
      <c r="E64">
        <v>19</v>
      </c>
      <c r="F64" t="s">
        <v>13</v>
      </c>
      <c r="G64" t="s">
        <v>14</v>
      </c>
      <c r="H64" s="1">
        <v>45488</v>
      </c>
      <c r="I64" t="s">
        <v>31</v>
      </c>
      <c r="J64" t="s">
        <v>16</v>
      </c>
    </row>
    <row r="65" spans="1:10" x14ac:dyDescent="0.3">
      <c r="A65">
        <v>64</v>
      </c>
      <c r="B65" t="s">
        <v>29</v>
      </c>
      <c r="C65" t="s">
        <v>34</v>
      </c>
      <c r="D65" t="s">
        <v>19</v>
      </c>
      <c r="E65">
        <v>51</v>
      </c>
      <c r="F65" t="s">
        <v>40</v>
      </c>
      <c r="G65" t="s">
        <v>14</v>
      </c>
      <c r="H65" s="1">
        <v>45295</v>
      </c>
      <c r="I65" t="s">
        <v>15</v>
      </c>
      <c r="J65" t="s">
        <v>32</v>
      </c>
    </row>
    <row r="66" spans="1:10" x14ac:dyDescent="0.3">
      <c r="A66">
        <v>65</v>
      </c>
      <c r="B66" t="s">
        <v>17</v>
      </c>
      <c r="C66" t="s">
        <v>33</v>
      </c>
      <c r="D66" t="s">
        <v>12</v>
      </c>
      <c r="E66">
        <v>20</v>
      </c>
      <c r="F66" t="s">
        <v>40</v>
      </c>
      <c r="G66" t="s">
        <v>14</v>
      </c>
      <c r="H66" s="1">
        <v>45691</v>
      </c>
      <c r="I66" t="s">
        <v>15</v>
      </c>
      <c r="J66" t="s">
        <v>32</v>
      </c>
    </row>
    <row r="67" spans="1:10" x14ac:dyDescent="0.3">
      <c r="A67">
        <v>66</v>
      </c>
      <c r="B67" t="s">
        <v>41</v>
      </c>
      <c r="C67" t="s">
        <v>43</v>
      </c>
      <c r="D67" t="s">
        <v>19</v>
      </c>
      <c r="E67">
        <v>19</v>
      </c>
      <c r="F67" t="s">
        <v>25</v>
      </c>
      <c r="G67" t="s">
        <v>14</v>
      </c>
      <c r="H67" s="1">
        <v>45702</v>
      </c>
      <c r="I67" t="s">
        <v>15</v>
      </c>
      <c r="J67" t="s">
        <v>35</v>
      </c>
    </row>
    <row r="68" spans="1:10" x14ac:dyDescent="0.3">
      <c r="A68">
        <v>67</v>
      </c>
      <c r="B68" t="s">
        <v>42</v>
      </c>
      <c r="C68" t="s">
        <v>11</v>
      </c>
      <c r="D68" t="s">
        <v>19</v>
      </c>
      <c r="E68">
        <v>35</v>
      </c>
      <c r="F68" t="s">
        <v>38</v>
      </c>
      <c r="G68" t="s">
        <v>14</v>
      </c>
      <c r="H68" s="1">
        <v>45362</v>
      </c>
      <c r="I68" t="s">
        <v>21</v>
      </c>
      <c r="J68" t="s">
        <v>26</v>
      </c>
    </row>
    <row r="69" spans="1:10" x14ac:dyDescent="0.3">
      <c r="A69">
        <v>68</v>
      </c>
      <c r="B69" t="s">
        <v>44</v>
      </c>
      <c r="C69" t="s">
        <v>11</v>
      </c>
      <c r="D69" t="s">
        <v>19</v>
      </c>
      <c r="E69">
        <v>59</v>
      </c>
      <c r="F69" t="s">
        <v>40</v>
      </c>
      <c r="G69" t="s">
        <v>14</v>
      </c>
      <c r="H69" s="1">
        <v>45573</v>
      </c>
      <c r="I69" t="s">
        <v>21</v>
      </c>
      <c r="J69" t="s">
        <v>32</v>
      </c>
    </row>
    <row r="70" spans="1:10" x14ac:dyDescent="0.3">
      <c r="A70">
        <v>69</v>
      </c>
      <c r="B70" t="s">
        <v>23</v>
      </c>
      <c r="C70" t="s">
        <v>11</v>
      </c>
      <c r="D70" t="s">
        <v>19</v>
      </c>
      <c r="E70">
        <v>60</v>
      </c>
      <c r="F70" t="s">
        <v>38</v>
      </c>
      <c r="G70" t="s">
        <v>14</v>
      </c>
      <c r="H70" s="1">
        <v>45329</v>
      </c>
      <c r="I70" t="s">
        <v>15</v>
      </c>
      <c r="J70" t="s">
        <v>32</v>
      </c>
    </row>
    <row r="71" spans="1:10" x14ac:dyDescent="0.3">
      <c r="A71">
        <v>70</v>
      </c>
      <c r="B71" t="s">
        <v>36</v>
      </c>
      <c r="C71" t="s">
        <v>30</v>
      </c>
      <c r="D71" t="s">
        <v>12</v>
      </c>
      <c r="E71">
        <v>41</v>
      </c>
      <c r="F71" t="s">
        <v>38</v>
      </c>
      <c r="G71" t="s">
        <v>14</v>
      </c>
      <c r="H71" s="1">
        <v>45310</v>
      </c>
      <c r="I71" t="s">
        <v>31</v>
      </c>
      <c r="J71" t="s">
        <v>35</v>
      </c>
    </row>
    <row r="72" spans="1:10" x14ac:dyDescent="0.3">
      <c r="A72">
        <v>71</v>
      </c>
      <c r="B72" t="s">
        <v>27</v>
      </c>
      <c r="C72" t="s">
        <v>18</v>
      </c>
      <c r="D72" t="s">
        <v>12</v>
      </c>
      <c r="E72">
        <v>29</v>
      </c>
      <c r="F72" t="s">
        <v>25</v>
      </c>
      <c r="G72" t="s">
        <v>14</v>
      </c>
      <c r="H72" s="1">
        <v>45773</v>
      </c>
      <c r="I72" t="s">
        <v>21</v>
      </c>
      <c r="J72" t="s">
        <v>32</v>
      </c>
    </row>
    <row r="73" spans="1:10" x14ac:dyDescent="0.3">
      <c r="A73">
        <v>72</v>
      </c>
      <c r="B73" t="s">
        <v>36</v>
      </c>
      <c r="C73" t="s">
        <v>43</v>
      </c>
      <c r="D73" t="s">
        <v>19</v>
      </c>
      <c r="E73">
        <v>40</v>
      </c>
      <c r="F73" t="s">
        <v>25</v>
      </c>
      <c r="G73" t="s">
        <v>14</v>
      </c>
      <c r="H73" s="1">
        <v>45640</v>
      </c>
      <c r="I73" t="s">
        <v>31</v>
      </c>
      <c r="J73" t="s">
        <v>16</v>
      </c>
    </row>
    <row r="74" spans="1:10" x14ac:dyDescent="0.3">
      <c r="A74">
        <v>73</v>
      </c>
      <c r="B74" t="s">
        <v>17</v>
      </c>
      <c r="C74" t="s">
        <v>43</v>
      </c>
      <c r="D74" t="s">
        <v>12</v>
      </c>
      <c r="E74">
        <v>51</v>
      </c>
      <c r="F74" t="s">
        <v>38</v>
      </c>
      <c r="G74" t="s">
        <v>14</v>
      </c>
      <c r="H74" s="1">
        <v>45744</v>
      </c>
      <c r="I74" t="s">
        <v>15</v>
      </c>
      <c r="J74" t="s">
        <v>35</v>
      </c>
    </row>
    <row r="75" spans="1:10" x14ac:dyDescent="0.3">
      <c r="A75">
        <v>74</v>
      </c>
      <c r="B75" t="s">
        <v>44</v>
      </c>
      <c r="C75" t="s">
        <v>11</v>
      </c>
      <c r="D75" t="s">
        <v>19</v>
      </c>
      <c r="E75">
        <v>41</v>
      </c>
      <c r="F75" t="s">
        <v>13</v>
      </c>
      <c r="G75" t="s">
        <v>14</v>
      </c>
      <c r="H75" s="1">
        <v>45544</v>
      </c>
      <c r="I75" t="s">
        <v>15</v>
      </c>
      <c r="J75" t="s">
        <v>26</v>
      </c>
    </row>
    <row r="76" spans="1:10" x14ac:dyDescent="0.3">
      <c r="A76">
        <v>75</v>
      </c>
      <c r="B76" t="s">
        <v>36</v>
      </c>
      <c r="C76" t="s">
        <v>18</v>
      </c>
      <c r="D76" t="s">
        <v>12</v>
      </c>
      <c r="E76">
        <v>32</v>
      </c>
      <c r="F76" t="s">
        <v>25</v>
      </c>
      <c r="G76" t="s">
        <v>14</v>
      </c>
      <c r="H76" s="1">
        <v>45361</v>
      </c>
      <c r="I76" t="s">
        <v>21</v>
      </c>
      <c r="J76" t="s">
        <v>35</v>
      </c>
    </row>
    <row r="77" spans="1:10" x14ac:dyDescent="0.3">
      <c r="A77">
        <v>76</v>
      </c>
      <c r="B77" t="s">
        <v>10</v>
      </c>
      <c r="C77" t="s">
        <v>28</v>
      </c>
      <c r="D77" t="s">
        <v>19</v>
      </c>
      <c r="E77">
        <v>23</v>
      </c>
      <c r="F77" t="s">
        <v>38</v>
      </c>
      <c r="G77" t="s">
        <v>14</v>
      </c>
      <c r="H77" s="1">
        <v>45624</v>
      </c>
      <c r="I77" t="s">
        <v>15</v>
      </c>
      <c r="J77" t="s">
        <v>32</v>
      </c>
    </row>
    <row r="78" spans="1:10" x14ac:dyDescent="0.3">
      <c r="A78">
        <v>77</v>
      </c>
      <c r="B78" t="s">
        <v>29</v>
      </c>
      <c r="C78" t="s">
        <v>39</v>
      </c>
      <c r="D78" t="s">
        <v>19</v>
      </c>
      <c r="E78">
        <v>30</v>
      </c>
      <c r="F78" t="s">
        <v>40</v>
      </c>
      <c r="G78" t="s">
        <v>14</v>
      </c>
      <c r="H78" s="1">
        <v>45523</v>
      </c>
      <c r="I78" t="s">
        <v>21</v>
      </c>
      <c r="J78" t="s">
        <v>16</v>
      </c>
    </row>
    <row r="79" spans="1:10" x14ac:dyDescent="0.3">
      <c r="A79">
        <v>78</v>
      </c>
      <c r="B79" t="s">
        <v>45</v>
      </c>
      <c r="C79" t="s">
        <v>37</v>
      </c>
      <c r="D79" t="s">
        <v>19</v>
      </c>
      <c r="E79">
        <v>37</v>
      </c>
      <c r="F79" t="s">
        <v>20</v>
      </c>
      <c r="G79" t="s">
        <v>14</v>
      </c>
      <c r="H79" s="1">
        <v>45343</v>
      </c>
      <c r="I79" t="s">
        <v>15</v>
      </c>
      <c r="J79" t="s">
        <v>16</v>
      </c>
    </row>
    <row r="80" spans="1:10" x14ac:dyDescent="0.3">
      <c r="A80">
        <v>79</v>
      </c>
      <c r="B80" t="s">
        <v>27</v>
      </c>
      <c r="C80" t="s">
        <v>39</v>
      </c>
      <c r="D80" t="s">
        <v>19</v>
      </c>
      <c r="E80">
        <v>59</v>
      </c>
      <c r="F80" t="s">
        <v>38</v>
      </c>
      <c r="G80" t="s">
        <v>14</v>
      </c>
      <c r="H80" s="1">
        <v>45454</v>
      </c>
      <c r="I80" t="s">
        <v>31</v>
      </c>
      <c r="J80" t="s">
        <v>32</v>
      </c>
    </row>
    <row r="81" spans="1:10" x14ac:dyDescent="0.3">
      <c r="A81">
        <v>80</v>
      </c>
      <c r="B81" t="s">
        <v>27</v>
      </c>
      <c r="C81" t="s">
        <v>28</v>
      </c>
      <c r="D81" t="s">
        <v>12</v>
      </c>
      <c r="E81">
        <v>47</v>
      </c>
      <c r="F81" t="s">
        <v>20</v>
      </c>
      <c r="G81" t="s">
        <v>14</v>
      </c>
      <c r="H81" s="1">
        <v>45603</v>
      </c>
      <c r="I81" t="s">
        <v>31</v>
      </c>
      <c r="J81" t="s">
        <v>22</v>
      </c>
    </row>
    <row r="82" spans="1:10" x14ac:dyDescent="0.3">
      <c r="A82">
        <v>81</v>
      </c>
      <c r="B82" t="s">
        <v>45</v>
      </c>
      <c r="C82" t="s">
        <v>18</v>
      </c>
      <c r="D82" t="s">
        <v>12</v>
      </c>
      <c r="E82">
        <v>25</v>
      </c>
      <c r="F82" t="s">
        <v>25</v>
      </c>
      <c r="G82" t="s">
        <v>14</v>
      </c>
      <c r="H82" s="1">
        <v>45677</v>
      </c>
      <c r="I82" t="s">
        <v>21</v>
      </c>
      <c r="J82" t="s">
        <v>32</v>
      </c>
    </row>
    <row r="83" spans="1:10" x14ac:dyDescent="0.3">
      <c r="A83">
        <v>82</v>
      </c>
      <c r="B83" t="s">
        <v>27</v>
      </c>
      <c r="C83" t="s">
        <v>39</v>
      </c>
      <c r="D83" t="s">
        <v>19</v>
      </c>
      <c r="E83">
        <v>21</v>
      </c>
      <c r="F83" t="s">
        <v>20</v>
      </c>
      <c r="G83" t="s">
        <v>14</v>
      </c>
      <c r="H83" s="1">
        <v>45568</v>
      </c>
      <c r="I83" t="s">
        <v>15</v>
      </c>
      <c r="J83" t="s">
        <v>26</v>
      </c>
    </row>
    <row r="84" spans="1:10" x14ac:dyDescent="0.3">
      <c r="A84">
        <v>83</v>
      </c>
      <c r="B84" t="s">
        <v>17</v>
      </c>
      <c r="C84" t="s">
        <v>11</v>
      </c>
      <c r="D84" t="s">
        <v>19</v>
      </c>
      <c r="E84">
        <v>46</v>
      </c>
      <c r="F84" t="s">
        <v>20</v>
      </c>
      <c r="G84" t="s">
        <v>14</v>
      </c>
      <c r="H84" s="1">
        <v>45370</v>
      </c>
      <c r="I84" t="s">
        <v>15</v>
      </c>
      <c r="J84" t="s">
        <v>16</v>
      </c>
    </row>
    <row r="85" spans="1:10" x14ac:dyDescent="0.3">
      <c r="A85">
        <v>84</v>
      </c>
      <c r="B85" t="s">
        <v>27</v>
      </c>
      <c r="C85" t="s">
        <v>11</v>
      </c>
      <c r="D85" t="s">
        <v>19</v>
      </c>
      <c r="E85">
        <v>42</v>
      </c>
      <c r="F85" t="s">
        <v>40</v>
      </c>
      <c r="G85" t="s">
        <v>14</v>
      </c>
      <c r="H85" s="1">
        <v>45294</v>
      </c>
      <c r="I85" t="s">
        <v>31</v>
      </c>
      <c r="J85" t="s">
        <v>16</v>
      </c>
    </row>
    <row r="86" spans="1:10" x14ac:dyDescent="0.3">
      <c r="A86">
        <v>85</v>
      </c>
      <c r="B86" t="s">
        <v>23</v>
      </c>
      <c r="C86" t="s">
        <v>18</v>
      </c>
      <c r="D86" t="s">
        <v>12</v>
      </c>
      <c r="E86">
        <v>22</v>
      </c>
      <c r="F86" t="s">
        <v>40</v>
      </c>
      <c r="G86" t="s">
        <v>14</v>
      </c>
      <c r="H86" s="1">
        <v>45316</v>
      </c>
      <c r="I86" t="s">
        <v>15</v>
      </c>
      <c r="J86" t="s">
        <v>35</v>
      </c>
    </row>
    <row r="87" spans="1:10" x14ac:dyDescent="0.3">
      <c r="A87">
        <v>86</v>
      </c>
      <c r="B87" t="s">
        <v>29</v>
      </c>
      <c r="C87" t="s">
        <v>18</v>
      </c>
      <c r="D87" t="s">
        <v>19</v>
      </c>
      <c r="E87">
        <v>33</v>
      </c>
      <c r="F87" t="s">
        <v>40</v>
      </c>
      <c r="G87" t="s">
        <v>14</v>
      </c>
      <c r="H87" s="1">
        <v>45492</v>
      </c>
      <c r="I87" t="s">
        <v>31</v>
      </c>
      <c r="J87" t="s">
        <v>22</v>
      </c>
    </row>
    <row r="88" spans="1:10" x14ac:dyDescent="0.3">
      <c r="A88">
        <v>87</v>
      </c>
      <c r="B88" t="s">
        <v>27</v>
      </c>
      <c r="C88" t="s">
        <v>39</v>
      </c>
      <c r="D88" t="s">
        <v>19</v>
      </c>
      <c r="E88">
        <v>23</v>
      </c>
      <c r="F88" t="s">
        <v>13</v>
      </c>
      <c r="G88" t="s">
        <v>14</v>
      </c>
      <c r="H88" s="1">
        <v>45398</v>
      </c>
      <c r="I88" t="s">
        <v>31</v>
      </c>
      <c r="J88" t="s">
        <v>26</v>
      </c>
    </row>
    <row r="89" spans="1:10" x14ac:dyDescent="0.3">
      <c r="A89">
        <v>88</v>
      </c>
      <c r="B89" t="s">
        <v>41</v>
      </c>
      <c r="C89" t="s">
        <v>11</v>
      </c>
      <c r="D89" t="s">
        <v>19</v>
      </c>
      <c r="E89">
        <v>60</v>
      </c>
      <c r="F89" t="s">
        <v>25</v>
      </c>
      <c r="G89" t="s">
        <v>14</v>
      </c>
      <c r="H89" s="1">
        <v>45329</v>
      </c>
      <c r="I89" t="s">
        <v>31</v>
      </c>
      <c r="J89" t="s">
        <v>16</v>
      </c>
    </row>
    <row r="90" spans="1:10" x14ac:dyDescent="0.3">
      <c r="A90">
        <v>89</v>
      </c>
      <c r="B90" t="s">
        <v>41</v>
      </c>
      <c r="C90" t="s">
        <v>43</v>
      </c>
      <c r="D90" t="s">
        <v>12</v>
      </c>
      <c r="E90">
        <v>27</v>
      </c>
      <c r="F90" t="s">
        <v>25</v>
      </c>
      <c r="G90" t="s">
        <v>14</v>
      </c>
      <c r="H90" s="1">
        <v>45372</v>
      </c>
      <c r="I90" t="s">
        <v>31</v>
      </c>
      <c r="J90" t="s">
        <v>26</v>
      </c>
    </row>
    <row r="91" spans="1:10" x14ac:dyDescent="0.3">
      <c r="A91">
        <v>90</v>
      </c>
      <c r="B91" t="s">
        <v>44</v>
      </c>
      <c r="C91" t="s">
        <v>34</v>
      </c>
      <c r="D91" t="s">
        <v>12</v>
      </c>
      <c r="E91">
        <v>30</v>
      </c>
      <c r="F91" t="s">
        <v>38</v>
      </c>
      <c r="G91" t="s">
        <v>14</v>
      </c>
      <c r="H91" s="1">
        <v>45363</v>
      </c>
      <c r="I91" t="s">
        <v>31</v>
      </c>
      <c r="J91" t="s">
        <v>22</v>
      </c>
    </row>
    <row r="92" spans="1:10" x14ac:dyDescent="0.3">
      <c r="A92">
        <v>91</v>
      </c>
      <c r="B92" t="s">
        <v>27</v>
      </c>
      <c r="C92" t="s">
        <v>24</v>
      </c>
      <c r="D92" t="s">
        <v>12</v>
      </c>
      <c r="E92">
        <v>51</v>
      </c>
      <c r="F92" t="s">
        <v>20</v>
      </c>
      <c r="G92" t="s">
        <v>14</v>
      </c>
      <c r="H92" s="1">
        <v>45392</v>
      </c>
      <c r="I92" t="s">
        <v>15</v>
      </c>
      <c r="J92" t="s">
        <v>16</v>
      </c>
    </row>
    <row r="93" spans="1:10" x14ac:dyDescent="0.3">
      <c r="A93">
        <v>92</v>
      </c>
      <c r="B93" t="s">
        <v>41</v>
      </c>
      <c r="C93" t="s">
        <v>11</v>
      </c>
      <c r="D93" t="s">
        <v>19</v>
      </c>
      <c r="E93">
        <v>46</v>
      </c>
      <c r="F93" t="s">
        <v>40</v>
      </c>
      <c r="G93" t="s">
        <v>14</v>
      </c>
      <c r="H93" s="1">
        <v>45446</v>
      </c>
      <c r="I93" t="s">
        <v>31</v>
      </c>
      <c r="J93" t="s">
        <v>16</v>
      </c>
    </row>
    <row r="94" spans="1:10" x14ac:dyDescent="0.3">
      <c r="A94">
        <v>93</v>
      </c>
      <c r="B94" t="s">
        <v>17</v>
      </c>
      <c r="C94" t="s">
        <v>11</v>
      </c>
      <c r="D94" t="s">
        <v>19</v>
      </c>
      <c r="E94">
        <v>43</v>
      </c>
      <c r="F94" t="s">
        <v>40</v>
      </c>
      <c r="G94" t="s">
        <v>14</v>
      </c>
      <c r="H94" s="1">
        <v>45436</v>
      </c>
      <c r="I94" t="s">
        <v>31</v>
      </c>
      <c r="J94" t="s">
        <v>32</v>
      </c>
    </row>
    <row r="95" spans="1:10" x14ac:dyDescent="0.3">
      <c r="A95">
        <v>94</v>
      </c>
      <c r="B95" t="s">
        <v>10</v>
      </c>
      <c r="C95" t="s">
        <v>11</v>
      </c>
      <c r="D95" t="s">
        <v>12</v>
      </c>
      <c r="E95">
        <v>32</v>
      </c>
      <c r="F95" t="s">
        <v>38</v>
      </c>
      <c r="G95" t="s">
        <v>14</v>
      </c>
      <c r="H95" s="1">
        <v>45737</v>
      </c>
      <c r="I95" t="s">
        <v>31</v>
      </c>
      <c r="J95" t="s">
        <v>35</v>
      </c>
    </row>
    <row r="96" spans="1:10" x14ac:dyDescent="0.3">
      <c r="A96">
        <v>95</v>
      </c>
      <c r="B96" t="s">
        <v>27</v>
      </c>
      <c r="C96" t="s">
        <v>39</v>
      </c>
      <c r="D96" t="s">
        <v>12</v>
      </c>
      <c r="E96">
        <v>43</v>
      </c>
      <c r="F96" t="s">
        <v>13</v>
      </c>
      <c r="G96" t="s">
        <v>14</v>
      </c>
      <c r="H96" s="1">
        <v>45598</v>
      </c>
      <c r="I96" t="s">
        <v>31</v>
      </c>
      <c r="J96" t="s">
        <v>22</v>
      </c>
    </row>
    <row r="97" spans="1:10" x14ac:dyDescent="0.3">
      <c r="A97">
        <v>96</v>
      </c>
      <c r="B97" t="s">
        <v>27</v>
      </c>
      <c r="C97" t="s">
        <v>39</v>
      </c>
      <c r="D97" t="s">
        <v>12</v>
      </c>
      <c r="E97">
        <v>53</v>
      </c>
      <c r="F97" t="s">
        <v>25</v>
      </c>
      <c r="G97" t="s">
        <v>14</v>
      </c>
      <c r="H97" s="1">
        <v>45466</v>
      </c>
      <c r="I97" t="s">
        <v>31</v>
      </c>
      <c r="J97" t="s">
        <v>35</v>
      </c>
    </row>
    <row r="98" spans="1:10" x14ac:dyDescent="0.3">
      <c r="A98">
        <v>97</v>
      </c>
      <c r="B98" t="s">
        <v>44</v>
      </c>
      <c r="C98" t="s">
        <v>34</v>
      </c>
      <c r="D98" t="s">
        <v>19</v>
      </c>
      <c r="E98">
        <v>37</v>
      </c>
      <c r="F98" t="s">
        <v>13</v>
      </c>
      <c r="G98" t="s">
        <v>14</v>
      </c>
      <c r="H98" s="1">
        <v>45574</v>
      </c>
      <c r="I98" t="s">
        <v>31</v>
      </c>
      <c r="J98" t="s">
        <v>35</v>
      </c>
    </row>
    <row r="99" spans="1:10" x14ac:dyDescent="0.3">
      <c r="A99">
        <v>98</v>
      </c>
      <c r="B99" t="s">
        <v>42</v>
      </c>
      <c r="C99" t="s">
        <v>24</v>
      </c>
      <c r="D99" t="s">
        <v>12</v>
      </c>
      <c r="E99">
        <v>40</v>
      </c>
      <c r="F99" t="s">
        <v>38</v>
      </c>
      <c r="G99" t="s">
        <v>14</v>
      </c>
      <c r="H99" s="1">
        <v>45465</v>
      </c>
      <c r="I99" t="s">
        <v>15</v>
      </c>
      <c r="J99" t="s">
        <v>32</v>
      </c>
    </row>
    <row r="100" spans="1:10" x14ac:dyDescent="0.3">
      <c r="A100">
        <v>99</v>
      </c>
      <c r="B100" t="s">
        <v>23</v>
      </c>
      <c r="C100" t="s">
        <v>28</v>
      </c>
      <c r="D100" t="s">
        <v>12</v>
      </c>
      <c r="E100">
        <v>53</v>
      </c>
      <c r="F100" t="s">
        <v>38</v>
      </c>
      <c r="G100" t="s">
        <v>14</v>
      </c>
      <c r="H100" s="1">
        <v>45365</v>
      </c>
      <c r="I100" t="s">
        <v>21</v>
      </c>
      <c r="J100" t="s">
        <v>26</v>
      </c>
    </row>
    <row r="101" spans="1:10" x14ac:dyDescent="0.3">
      <c r="A101">
        <v>100</v>
      </c>
      <c r="B101" t="s">
        <v>23</v>
      </c>
      <c r="C101" t="s">
        <v>28</v>
      </c>
      <c r="D101" t="s">
        <v>19</v>
      </c>
      <c r="E101">
        <v>25</v>
      </c>
      <c r="F101" t="s">
        <v>20</v>
      </c>
      <c r="G101" t="s">
        <v>14</v>
      </c>
      <c r="H101" s="1">
        <v>45492</v>
      </c>
      <c r="I101" t="s">
        <v>15</v>
      </c>
      <c r="J101" t="s">
        <v>35</v>
      </c>
    </row>
  </sheetData>
  <pageMargins left="0.75" right="0.75" top="1" bottom="1" header="0.5" footer="0.5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>
      <selection activeCell="C32" sqref="C32"/>
    </sheetView>
  </sheetViews>
  <sheetFormatPr defaultRowHeight="14.4" x14ac:dyDescent="0.3"/>
  <cols>
    <col min="1" max="1" width="13.6640625" customWidth="1"/>
    <col min="2" max="2" width="16.88671875" customWidth="1"/>
    <col min="3" max="3" width="15.88671875" customWidth="1"/>
    <col min="4" max="4" width="11.44140625" customWidth="1"/>
    <col min="5" max="5" width="10.88671875" customWidth="1"/>
    <col min="7" max="7" width="24.77734375" customWidth="1"/>
    <col min="8" max="8" width="9.5546875" customWidth="1"/>
  </cols>
  <sheetData>
    <row r="1" spans="1:9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</row>
    <row r="2" spans="1:9" x14ac:dyDescent="0.3">
      <c r="A2">
        <v>1</v>
      </c>
      <c r="B2" t="s">
        <v>55</v>
      </c>
      <c r="C2" t="s">
        <v>56</v>
      </c>
      <c r="D2" s="1">
        <v>45678</v>
      </c>
      <c r="E2" s="1">
        <v>45709</v>
      </c>
      <c r="F2">
        <v>154593.07</v>
      </c>
      <c r="G2" t="s">
        <v>15</v>
      </c>
      <c r="H2" t="s">
        <v>57</v>
      </c>
      <c r="I2" t="s">
        <v>58</v>
      </c>
    </row>
    <row r="3" spans="1:9" x14ac:dyDescent="0.3">
      <c r="A3">
        <v>2</v>
      </c>
      <c r="B3" t="s">
        <v>59</v>
      </c>
      <c r="C3" t="s">
        <v>60</v>
      </c>
      <c r="D3" s="1">
        <v>45698</v>
      </c>
      <c r="E3" s="1">
        <v>45729</v>
      </c>
      <c r="F3">
        <v>221020.45</v>
      </c>
      <c r="G3" t="s">
        <v>15</v>
      </c>
      <c r="H3" t="s">
        <v>26</v>
      </c>
      <c r="I3" t="s">
        <v>58</v>
      </c>
    </row>
    <row r="4" spans="1:9" x14ac:dyDescent="0.3">
      <c r="A4">
        <v>3</v>
      </c>
      <c r="B4" t="s">
        <v>61</v>
      </c>
      <c r="C4" t="s">
        <v>62</v>
      </c>
      <c r="D4" s="1">
        <v>45718</v>
      </c>
      <c r="E4" s="1">
        <v>45749</v>
      </c>
      <c r="F4">
        <v>212436.53</v>
      </c>
      <c r="G4" t="s">
        <v>21</v>
      </c>
      <c r="H4" t="s">
        <v>16</v>
      </c>
      <c r="I4" t="s">
        <v>58</v>
      </c>
    </row>
    <row r="5" spans="1:9" x14ac:dyDescent="0.3">
      <c r="A5">
        <v>4</v>
      </c>
      <c r="B5" t="s">
        <v>63</v>
      </c>
      <c r="C5" t="s">
        <v>62</v>
      </c>
      <c r="D5" s="1">
        <v>45738</v>
      </c>
      <c r="E5" s="1">
        <v>45769</v>
      </c>
      <c r="F5">
        <v>67158.679999999993</v>
      </c>
      <c r="G5" t="s">
        <v>15</v>
      </c>
      <c r="H5" t="s">
        <v>16</v>
      </c>
      <c r="I5" t="s">
        <v>64</v>
      </c>
    </row>
    <row r="6" spans="1:9" x14ac:dyDescent="0.3">
      <c r="A6">
        <v>5</v>
      </c>
      <c r="B6" t="s">
        <v>65</v>
      </c>
      <c r="C6" t="s">
        <v>62</v>
      </c>
      <c r="D6" s="1">
        <v>45758</v>
      </c>
      <c r="E6" s="1">
        <v>45789</v>
      </c>
      <c r="F6">
        <v>177801.63</v>
      </c>
      <c r="G6" t="s">
        <v>31</v>
      </c>
      <c r="H6" t="s">
        <v>22</v>
      </c>
      <c r="I6" t="s">
        <v>64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workbookViewId="0">
      <selection activeCell="J17" sqref="J17"/>
    </sheetView>
  </sheetViews>
  <sheetFormatPr defaultRowHeight="14.4" x14ac:dyDescent="0.3"/>
  <cols>
    <col min="1" max="1" width="14.5546875" customWidth="1"/>
    <col min="2" max="2" width="13.6640625" customWidth="1"/>
    <col min="3" max="3" width="13.33203125" customWidth="1"/>
    <col min="4" max="5" width="16.77734375" customWidth="1"/>
    <col min="6" max="6" width="13.109375" customWidth="1"/>
    <col min="7" max="7" width="9.44140625" customWidth="1"/>
    <col min="8" max="8" width="14.77734375" customWidth="1"/>
    <col min="9" max="9" width="15.5546875" customWidth="1"/>
    <col min="12" max="12" width="17.21875" customWidth="1"/>
    <col min="13" max="13" width="23" customWidth="1"/>
  </cols>
  <sheetData>
    <row r="1" spans="1:13" x14ac:dyDescent="0.3">
      <c r="A1" t="s">
        <v>66</v>
      </c>
      <c r="B1" t="s">
        <v>46</v>
      </c>
      <c r="C1" t="s">
        <v>0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L1" s="5" t="s">
        <v>101</v>
      </c>
      <c r="M1" s="5"/>
    </row>
    <row r="2" spans="1:13" x14ac:dyDescent="0.3">
      <c r="A2">
        <v>1</v>
      </c>
      <c r="B2">
        <v>4</v>
      </c>
      <c r="C2">
        <v>16</v>
      </c>
      <c r="D2" s="1">
        <v>45772</v>
      </c>
      <c r="E2" t="s">
        <v>73</v>
      </c>
      <c r="F2" t="s">
        <v>74</v>
      </c>
      <c r="G2" t="s">
        <v>14</v>
      </c>
      <c r="H2">
        <v>19.97</v>
      </c>
      <c r="I2">
        <v>1</v>
      </c>
      <c r="K2" t="s">
        <v>78</v>
      </c>
      <c r="L2">
        <v>1</v>
      </c>
      <c r="M2">
        <f>COUNTIFS(B:B,L2,E:E,$K$2)</f>
        <v>8</v>
      </c>
    </row>
    <row r="3" spans="1:13" x14ac:dyDescent="0.3">
      <c r="A3">
        <v>2</v>
      </c>
      <c r="B3">
        <v>1</v>
      </c>
      <c r="C3">
        <v>26</v>
      </c>
      <c r="D3" s="1">
        <v>45766</v>
      </c>
      <c r="E3" t="s">
        <v>73</v>
      </c>
      <c r="F3" t="s">
        <v>75</v>
      </c>
      <c r="G3" t="s">
        <v>14</v>
      </c>
      <c r="H3">
        <v>7.73</v>
      </c>
      <c r="I3">
        <v>1</v>
      </c>
      <c r="L3">
        <v>2</v>
      </c>
      <c r="M3">
        <f t="shared" ref="M3:M6" si="0">COUNTIFS(B:B,L3,E:E,$K$2)</f>
        <v>8</v>
      </c>
    </row>
    <row r="4" spans="1:13" x14ac:dyDescent="0.3">
      <c r="A4">
        <v>3</v>
      </c>
      <c r="B4">
        <v>2</v>
      </c>
      <c r="C4">
        <v>41</v>
      </c>
      <c r="D4" s="1">
        <v>45719</v>
      </c>
      <c r="E4" t="s">
        <v>76</v>
      </c>
      <c r="F4" t="s">
        <v>77</v>
      </c>
      <c r="G4" t="s">
        <v>14</v>
      </c>
      <c r="H4">
        <v>4.1900000000000004</v>
      </c>
      <c r="I4">
        <v>1</v>
      </c>
      <c r="L4">
        <v>3</v>
      </c>
      <c r="M4">
        <f t="shared" si="0"/>
        <v>6</v>
      </c>
    </row>
    <row r="5" spans="1:13" x14ac:dyDescent="0.3">
      <c r="A5">
        <v>4</v>
      </c>
      <c r="B5">
        <v>4</v>
      </c>
      <c r="C5">
        <v>43</v>
      </c>
      <c r="D5" s="1">
        <v>45725</v>
      </c>
      <c r="E5" t="s">
        <v>76</v>
      </c>
      <c r="F5" t="s">
        <v>74</v>
      </c>
      <c r="G5" t="s">
        <v>14</v>
      </c>
      <c r="H5">
        <v>42.92</v>
      </c>
      <c r="I5">
        <v>0</v>
      </c>
      <c r="L5">
        <v>4</v>
      </c>
      <c r="M5">
        <f t="shared" si="0"/>
        <v>5</v>
      </c>
    </row>
    <row r="6" spans="1:13" x14ac:dyDescent="0.3">
      <c r="A6">
        <v>5</v>
      </c>
      <c r="B6">
        <v>2</v>
      </c>
      <c r="C6">
        <v>61</v>
      </c>
      <c r="D6" s="1">
        <v>45745</v>
      </c>
      <c r="E6" t="s">
        <v>73</v>
      </c>
      <c r="F6" t="s">
        <v>74</v>
      </c>
      <c r="G6" t="s">
        <v>14</v>
      </c>
      <c r="H6">
        <v>38.49</v>
      </c>
      <c r="I6">
        <v>1</v>
      </c>
      <c r="L6">
        <v>5</v>
      </c>
      <c r="M6">
        <f t="shared" si="0"/>
        <v>5</v>
      </c>
    </row>
    <row r="7" spans="1:13" x14ac:dyDescent="0.3">
      <c r="A7">
        <v>6</v>
      </c>
      <c r="B7">
        <v>3</v>
      </c>
      <c r="C7">
        <v>23</v>
      </c>
      <c r="D7" s="1">
        <v>45776</v>
      </c>
      <c r="E7" t="s">
        <v>78</v>
      </c>
      <c r="F7" t="s">
        <v>74</v>
      </c>
      <c r="G7" t="s">
        <v>14</v>
      </c>
      <c r="H7">
        <v>34.75</v>
      </c>
      <c r="I7">
        <v>1</v>
      </c>
    </row>
    <row r="8" spans="1:13" x14ac:dyDescent="0.3">
      <c r="A8">
        <v>7</v>
      </c>
      <c r="B8">
        <v>4</v>
      </c>
      <c r="C8">
        <v>30</v>
      </c>
      <c r="D8" s="1">
        <v>45751</v>
      </c>
      <c r="E8" t="s">
        <v>78</v>
      </c>
      <c r="F8" t="s">
        <v>77</v>
      </c>
      <c r="G8" t="s">
        <v>14</v>
      </c>
      <c r="H8">
        <v>39.89</v>
      </c>
      <c r="I8">
        <v>0</v>
      </c>
      <c r="L8" s="5" t="s">
        <v>96</v>
      </c>
      <c r="M8" s="5"/>
    </row>
    <row r="9" spans="1:13" x14ac:dyDescent="0.3">
      <c r="A9">
        <v>8</v>
      </c>
      <c r="B9">
        <v>2</v>
      </c>
      <c r="C9">
        <v>26</v>
      </c>
      <c r="D9" s="1">
        <v>45724</v>
      </c>
      <c r="E9" t="s">
        <v>78</v>
      </c>
      <c r="F9" t="s">
        <v>74</v>
      </c>
      <c r="G9" t="s">
        <v>14</v>
      </c>
      <c r="H9">
        <v>25.69</v>
      </c>
      <c r="I9">
        <v>0</v>
      </c>
      <c r="L9" s="2" t="s">
        <v>91</v>
      </c>
      <c r="M9" t="s">
        <v>95</v>
      </c>
    </row>
    <row r="10" spans="1:13" x14ac:dyDescent="0.3">
      <c r="A10">
        <v>9</v>
      </c>
      <c r="B10">
        <v>1</v>
      </c>
      <c r="C10">
        <v>26</v>
      </c>
      <c r="D10" s="1">
        <v>45778</v>
      </c>
      <c r="E10" t="s">
        <v>73</v>
      </c>
      <c r="F10" t="s">
        <v>75</v>
      </c>
      <c r="G10" t="s">
        <v>14</v>
      </c>
      <c r="H10">
        <v>48.99</v>
      </c>
      <c r="I10">
        <v>1</v>
      </c>
      <c r="L10" s="3">
        <v>1</v>
      </c>
      <c r="M10" s="4">
        <v>20</v>
      </c>
    </row>
    <row r="11" spans="1:13" x14ac:dyDescent="0.3">
      <c r="A11">
        <v>10</v>
      </c>
      <c r="B11">
        <v>4</v>
      </c>
      <c r="C11">
        <v>62</v>
      </c>
      <c r="D11" s="1">
        <v>45695</v>
      </c>
      <c r="E11" t="s">
        <v>76</v>
      </c>
      <c r="F11" t="s">
        <v>77</v>
      </c>
      <c r="G11" t="s">
        <v>14</v>
      </c>
      <c r="H11">
        <v>36.659999999999997</v>
      </c>
      <c r="I11">
        <v>0</v>
      </c>
      <c r="L11" s="3">
        <v>2</v>
      </c>
      <c r="M11" s="4">
        <v>16</v>
      </c>
    </row>
    <row r="12" spans="1:13" x14ac:dyDescent="0.3">
      <c r="A12">
        <v>11</v>
      </c>
      <c r="B12">
        <v>5</v>
      </c>
      <c r="C12">
        <v>15</v>
      </c>
      <c r="D12" s="1">
        <v>45711</v>
      </c>
      <c r="E12" t="s">
        <v>78</v>
      </c>
      <c r="F12" t="s">
        <v>74</v>
      </c>
      <c r="G12" t="s">
        <v>14</v>
      </c>
      <c r="H12">
        <v>18.440000000000001</v>
      </c>
      <c r="I12">
        <v>1</v>
      </c>
      <c r="L12" s="3">
        <v>3</v>
      </c>
      <c r="M12" s="4">
        <v>23</v>
      </c>
    </row>
    <row r="13" spans="1:13" x14ac:dyDescent="0.3">
      <c r="A13">
        <v>12</v>
      </c>
      <c r="B13">
        <v>5</v>
      </c>
      <c r="C13">
        <v>23</v>
      </c>
      <c r="D13" s="1">
        <v>45727</v>
      </c>
      <c r="E13" t="s">
        <v>73</v>
      </c>
      <c r="F13" t="s">
        <v>75</v>
      </c>
      <c r="G13" t="s">
        <v>14</v>
      </c>
      <c r="H13">
        <v>16.170000000000002</v>
      </c>
      <c r="I13">
        <v>0</v>
      </c>
      <c r="L13" s="3">
        <v>4</v>
      </c>
      <c r="M13" s="4">
        <v>18</v>
      </c>
    </row>
    <row r="14" spans="1:13" x14ac:dyDescent="0.3">
      <c r="A14">
        <v>13</v>
      </c>
      <c r="B14">
        <v>1</v>
      </c>
      <c r="C14">
        <v>57</v>
      </c>
      <c r="D14" s="1">
        <v>45774</v>
      </c>
      <c r="E14" t="s">
        <v>78</v>
      </c>
      <c r="F14" t="s">
        <v>74</v>
      </c>
      <c r="G14" t="s">
        <v>14</v>
      </c>
      <c r="H14">
        <v>40.25</v>
      </c>
      <c r="I14">
        <v>0</v>
      </c>
      <c r="L14" s="3">
        <v>5</v>
      </c>
      <c r="M14" s="4">
        <v>23</v>
      </c>
    </row>
    <row r="15" spans="1:13" x14ac:dyDescent="0.3">
      <c r="A15">
        <v>14</v>
      </c>
      <c r="B15">
        <v>3</v>
      </c>
      <c r="C15">
        <v>76</v>
      </c>
      <c r="D15" s="1">
        <v>45771</v>
      </c>
      <c r="E15" t="s">
        <v>76</v>
      </c>
      <c r="F15" t="s">
        <v>74</v>
      </c>
      <c r="G15" t="s">
        <v>14</v>
      </c>
      <c r="H15">
        <v>17.02</v>
      </c>
      <c r="I15">
        <v>1</v>
      </c>
      <c r="L15" s="3" t="s">
        <v>92</v>
      </c>
      <c r="M15" s="4">
        <v>100</v>
      </c>
    </row>
    <row r="16" spans="1:13" x14ac:dyDescent="0.3">
      <c r="A16">
        <v>15</v>
      </c>
      <c r="B16">
        <v>2</v>
      </c>
      <c r="C16">
        <v>87</v>
      </c>
      <c r="D16" s="1">
        <v>45722</v>
      </c>
      <c r="E16" t="s">
        <v>78</v>
      </c>
      <c r="F16" t="s">
        <v>74</v>
      </c>
      <c r="G16" t="s">
        <v>14</v>
      </c>
      <c r="H16">
        <v>42.22</v>
      </c>
      <c r="I16">
        <v>1</v>
      </c>
    </row>
    <row r="17" spans="1:13" x14ac:dyDescent="0.3">
      <c r="A17">
        <v>16</v>
      </c>
      <c r="B17">
        <v>5</v>
      </c>
      <c r="C17">
        <v>11</v>
      </c>
      <c r="D17" s="1">
        <v>45736</v>
      </c>
      <c r="E17" t="s">
        <v>73</v>
      </c>
      <c r="F17" t="s">
        <v>75</v>
      </c>
      <c r="G17" t="s">
        <v>14</v>
      </c>
      <c r="H17">
        <v>44.18</v>
      </c>
      <c r="I17">
        <v>0</v>
      </c>
      <c r="L17" s="5" t="s">
        <v>97</v>
      </c>
      <c r="M17" s="5"/>
    </row>
    <row r="18" spans="1:13" x14ac:dyDescent="0.3">
      <c r="A18">
        <v>17</v>
      </c>
      <c r="B18">
        <v>1</v>
      </c>
      <c r="C18">
        <v>72</v>
      </c>
      <c r="D18" s="1">
        <v>45729</v>
      </c>
      <c r="E18" t="s">
        <v>76</v>
      </c>
      <c r="F18" t="s">
        <v>75</v>
      </c>
      <c r="G18" t="s">
        <v>14</v>
      </c>
      <c r="H18">
        <v>49.18</v>
      </c>
      <c r="I18">
        <v>0</v>
      </c>
      <c r="L18" s="2" t="s">
        <v>91</v>
      </c>
      <c r="M18" t="s">
        <v>95</v>
      </c>
    </row>
    <row r="19" spans="1:13" x14ac:dyDescent="0.3">
      <c r="A19">
        <v>18</v>
      </c>
      <c r="B19">
        <v>3</v>
      </c>
      <c r="C19">
        <v>89</v>
      </c>
      <c r="D19" s="1">
        <v>45686</v>
      </c>
      <c r="E19" t="s">
        <v>76</v>
      </c>
      <c r="F19" t="s">
        <v>74</v>
      </c>
      <c r="G19" t="s">
        <v>14</v>
      </c>
      <c r="H19">
        <v>17.12</v>
      </c>
      <c r="I19">
        <v>1</v>
      </c>
      <c r="L19" s="3" t="s">
        <v>78</v>
      </c>
      <c r="M19" s="4">
        <v>32</v>
      </c>
    </row>
    <row r="20" spans="1:13" x14ac:dyDescent="0.3">
      <c r="A20">
        <v>19</v>
      </c>
      <c r="B20">
        <v>2</v>
      </c>
      <c r="C20">
        <v>5</v>
      </c>
      <c r="D20" s="1">
        <v>45676</v>
      </c>
      <c r="E20" t="s">
        <v>73</v>
      </c>
      <c r="F20" t="s">
        <v>74</v>
      </c>
      <c r="G20" t="s">
        <v>14</v>
      </c>
      <c r="H20">
        <v>13.29</v>
      </c>
      <c r="I20">
        <v>0</v>
      </c>
      <c r="L20" s="3" t="s">
        <v>76</v>
      </c>
      <c r="M20" s="4">
        <v>31</v>
      </c>
    </row>
    <row r="21" spans="1:13" x14ac:dyDescent="0.3">
      <c r="A21">
        <v>20</v>
      </c>
      <c r="B21">
        <v>3</v>
      </c>
      <c r="C21">
        <v>49</v>
      </c>
      <c r="D21" s="1">
        <v>45762</v>
      </c>
      <c r="E21" t="s">
        <v>73</v>
      </c>
      <c r="F21" t="s">
        <v>75</v>
      </c>
      <c r="G21" t="s">
        <v>14</v>
      </c>
      <c r="H21">
        <v>5.09</v>
      </c>
      <c r="I21">
        <v>0</v>
      </c>
      <c r="L21" s="3" t="s">
        <v>73</v>
      </c>
      <c r="M21" s="4">
        <v>37</v>
      </c>
    </row>
    <row r="22" spans="1:13" x14ac:dyDescent="0.3">
      <c r="A22">
        <v>21</v>
      </c>
      <c r="B22">
        <v>1</v>
      </c>
      <c r="C22">
        <v>27</v>
      </c>
      <c r="D22" s="1">
        <v>45762</v>
      </c>
      <c r="E22" t="s">
        <v>76</v>
      </c>
      <c r="F22" t="s">
        <v>74</v>
      </c>
      <c r="G22" t="s">
        <v>14</v>
      </c>
      <c r="H22">
        <v>42.46</v>
      </c>
      <c r="I22">
        <v>1</v>
      </c>
      <c r="L22" s="3" t="s">
        <v>92</v>
      </c>
      <c r="M22" s="4">
        <v>100</v>
      </c>
    </row>
    <row r="23" spans="1:13" x14ac:dyDescent="0.3">
      <c r="A23">
        <v>22</v>
      </c>
      <c r="B23">
        <v>4</v>
      </c>
      <c r="C23">
        <v>82</v>
      </c>
      <c r="D23" s="1">
        <v>45721</v>
      </c>
      <c r="E23" t="s">
        <v>78</v>
      </c>
      <c r="F23" t="s">
        <v>75</v>
      </c>
      <c r="G23" t="s">
        <v>14</v>
      </c>
      <c r="H23">
        <v>30.05</v>
      </c>
      <c r="I23">
        <v>0</v>
      </c>
    </row>
    <row r="24" spans="1:13" x14ac:dyDescent="0.3">
      <c r="A24">
        <v>23</v>
      </c>
      <c r="B24">
        <v>3</v>
      </c>
      <c r="C24">
        <v>97</v>
      </c>
      <c r="D24" s="1">
        <v>45723</v>
      </c>
      <c r="E24" t="s">
        <v>73</v>
      </c>
      <c r="F24" t="s">
        <v>75</v>
      </c>
      <c r="G24" t="s">
        <v>14</v>
      </c>
      <c r="H24">
        <v>35.049999999999997</v>
      </c>
      <c r="I24">
        <v>1</v>
      </c>
    </row>
    <row r="25" spans="1:13" x14ac:dyDescent="0.3">
      <c r="A25">
        <v>24</v>
      </c>
      <c r="B25">
        <v>5</v>
      </c>
      <c r="C25">
        <v>29</v>
      </c>
      <c r="D25" s="1">
        <v>45690</v>
      </c>
      <c r="E25" t="s">
        <v>76</v>
      </c>
      <c r="F25" t="s">
        <v>77</v>
      </c>
      <c r="G25" t="s">
        <v>14</v>
      </c>
      <c r="H25">
        <v>2.98</v>
      </c>
      <c r="I25">
        <v>0</v>
      </c>
    </row>
    <row r="26" spans="1:13" x14ac:dyDescent="0.3">
      <c r="A26">
        <v>25</v>
      </c>
      <c r="B26">
        <v>3</v>
      </c>
      <c r="C26">
        <v>75</v>
      </c>
      <c r="D26" s="1">
        <v>45677</v>
      </c>
      <c r="E26" t="s">
        <v>73</v>
      </c>
      <c r="F26" t="s">
        <v>77</v>
      </c>
      <c r="G26" t="s">
        <v>14</v>
      </c>
      <c r="H26">
        <v>13.06</v>
      </c>
      <c r="I26">
        <v>0</v>
      </c>
    </row>
    <row r="27" spans="1:13" x14ac:dyDescent="0.3">
      <c r="A27">
        <v>26</v>
      </c>
      <c r="B27">
        <v>3</v>
      </c>
      <c r="C27">
        <v>43</v>
      </c>
      <c r="D27" s="1">
        <v>45769</v>
      </c>
      <c r="E27" t="s">
        <v>76</v>
      </c>
      <c r="F27" t="s">
        <v>75</v>
      </c>
      <c r="G27" t="s">
        <v>14</v>
      </c>
      <c r="H27">
        <v>18.850000000000001</v>
      </c>
      <c r="I27">
        <v>1</v>
      </c>
    </row>
    <row r="28" spans="1:13" x14ac:dyDescent="0.3">
      <c r="A28">
        <v>27</v>
      </c>
      <c r="B28">
        <v>5</v>
      </c>
      <c r="C28">
        <v>89</v>
      </c>
      <c r="D28" s="1">
        <v>45740</v>
      </c>
      <c r="E28" t="s">
        <v>73</v>
      </c>
      <c r="F28" t="s">
        <v>74</v>
      </c>
      <c r="G28" t="s">
        <v>14</v>
      </c>
      <c r="H28">
        <v>38.25</v>
      </c>
      <c r="I28">
        <v>0</v>
      </c>
    </row>
    <row r="29" spans="1:13" x14ac:dyDescent="0.3">
      <c r="A29">
        <v>28</v>
      </c>
      <c r="B29">
        <v>3</v>
      </c>
      <c r="C29">
        <v>43</v>
      </c>
      <c r="D29" s="1">
        <v>45709</v>
      </c>
      <c r="E29" t="s">
        <v>78</v>
      </c>
      <c r="F29" t="s">
        <v>77</v>
      </c>
      <c r="G29" t="s">
        <v>14</v>
      </c>
      <c r="H29">
        <v>36.380000000000003</v>
      </c>
      <c r="I29">
        <v>0</v>
      </c>
    </row>
    <row r="30" spans="1:13" x14ac:dyDescent="0.3">
      <c r="A30">
        <v>29</v>
      </c>
      <c r="B30">
        <v>5</v>
      </c>
      <c r="C30">
        <v>27</v>
      </c>
      <c r="D30" s="1">
        <v>45729</v>
      </c>
      <c r="E30" t="s">
        <v>73</v>
      </c>
      <c r="F30" t="s">
        <v>75</v>
      </c>
      <c r="G30" t="s">
        <v>14</v>
      </c>
      <c r="H30">
        <v>46.6</v>
      </c>
      <c r="I30">
        <v>0</v>
      </c>
    </row>
    <row r="31" spans="1:13" x14ac:dyDescent="0.3">
      <c r="A31">
        <v>30</v>
      </c>
      <c r="B31">
        <v>5</v>
      </c>
      <c r="C31">
        <v>15</v>
      </c>
      <c r="D31" s="1">
        <v>45710</v>
      </c>
      <c r="E31" t="s">
        <v>78</v>
      </c>
      <c r="F31" t="s">
        <v>74</v>
      </c>
      <c r="G31" t="s">
        <v>14</v>
      </c>
      <c r="H31">
        <v>20.59</v>
      </c>
      <c r="I31">
        <v>0</v>
      </c>
    </row>
    <row r="32" spans="1:13" x14ac:dyDescent="0.3">
      <c r="A32">
        <v>31</v>
      </c>
      <c r="B32">
        <v>2</v>
      </c>
      <c r="C32">
        <v>43</v>
      </c>
      <c r="D32" s="1">
        <v>45751</v>
      </c>
      <c r="E32" t="s">
        <v>78</v>
      </c>
      <c r="F32" t="s">
        <v>77</v>
      </c>
      <c r="G32" t="s">
        <v>14</v>
      </c>
      <c r="H32">
        <v>7.44</v>
      </c>
      <c r="I32">
        <v>0</v>
      </c>
    </row>
    <row r="33" spans="1:9" x14ac:dyDescent="0.3">
      <c r="A33">
        <v>32</v>
      </c>
      <c r="B33">
        <v>5</v>
      </c>
      <c r="C33">
        <v>37</v>
      </c>
      <c r="D33" s="1">
        <v>45716</v>
      </c>
      <c r="E33" t="s">
        <v>76</v>
      </c>
      <c r="F33" t="s">
        <v>74</v>
      </c>
      <c r="G33" t="s">
        <v>14</v>
      </c>
      <c r="H33">
        <v>36.47</v>
      </c>
      <c r="I33">
        <v>0</v>
      </c>
    </row>
    <row r="34" spans="1:9" x14ac:dyDescent="0.3">
      <c r="A34">
        <v>33</v>
      </c>
      <c r="B34">
        <v>2</v>
      </c>
      <c r="C34">
        <v>51</v>
      </c>
      <c r="D34" s="1">
        <v>45729</v>
      </c>
      <c r="E34" t="s">
        <v>76</v>
      </c>
      <c r="F34" t="s">
        <v>77</v>
      </c>
      <c r="G34" t="s">
        <v>14</v>
      </c>
      <c r="H34">
        <v>42.18</v>
      </c>
      <c r="I34">
        <v>1</v>
      </c>
    </row>
    <row r="35" spans="1:9" x14ac:dyDescent="0.3">
      <c r="A35">
        <v>34</v>
      </c>
      <c r="B35">
        <v>1</v>
      </c>
      <c r="C35">
        <v>53</v>
      </c>
      <c r="D35" s="1">
        <v>45774</v>
      </c>
      <c r="E35" t="s">
        <v>76</v>
      </c>
      <c r="F35" t="s">
        <v>74</v>
      </c>
      <c r="G35" t="s">
        <v>14</v>
      </c>
      <c r="H35">
        <v>42.13</v>
      </c>
      <c r="I35">
        <v>1</v>
      </c>
    </row>
    <row r="36" spans="1:9" x14ac:dyDescent="0.3">
      <c r="A36">
        <v>35</v>
      </c>
      <c r="B36">
        <v>1</v>
      </c>
      <c r="C36">
        <v>81</v>
      </c>
      <c r="D36" s="1">
        <v>45679</v>
      </c>
      <c r="E36" t="s">
        <v>76</v>
      </c>
      <c r="F36" t="s">
        <v>74</v>
      </c>
      <c r="G36" t="s">
        <v>14</v>
      </c>
      <c r="H36">
        <v>37.44</v>
      </c>
      <c r="I36">
        <v>0</v>
      </c>
    </row>
    <row r="37" spans="1:9" x14ac:dyDescent="0.3">
      <c r="A37">
        <v>36</v>
      </c>
      <c r="B37">
        <v>4</v>
      </c>
      <c r="C37">
        <v>75</v>
      </c>
      <c r="D37" s="1">
        <v>45752</v>
      </c>
      <c r="E37" t="s">
        <v>76</v>
      </c>
      <c r="F37" t="s">
        <v>74</v>
      </c>
      <c r="G37" t="s">
        <v>14</v>
      </c>
      <c r="H37">
        <v>18.78</v>
      </c>
      <c r="I37">
        <v>1</v>
      </c>
    </row>
    <row r="38" spans="1:9" x14ac:dyDescent="0.3">
      <c r="A38">
        <v>37</v>
      </c>
      <c r="B38">
        <v>3</v>
      </c>
      <c r="C38">
        <v>48</v>
      </c>
      <c r="D38" s="1">
        <v>45678</v>
      </c>
      <c r="E38" t="s">
        <v>76</v>
      </c>
      <c r="F38" t="s">
        <v>74</v>
      </c>
      <c r="G38" t="s">
        <v>14</v>
      </c>
      <c r="H38">
        <v>19.34</v>
      </c>
      <c r="I38">
        <v>0</v>
      </c>
    </row>
    <row r="39" spans="1:9" x14ac:dyDescent="0.3">
      <c r="A39">
        <v>38</v>
      </c>
      <c r="B39">
        <v>5</v>
      </c>
      <c r="C39">
        <v>1</v>
      </c>
      <c r="D39" s="1">
        <v>45719</v>
      </c>
      <c r="E39" t="s">
        <v>76</v>
      </c>
      <c r="F39" t="s">
        <v>74</v>
      </c>
      <c r="G39" t="s">
        <v>14</v>
      </c>
      <c r="H39">
        <v>16.149999999999999</v>
      </c>
      <c r="I39">
        <v>1</v>
      </c>
    </row>
    <row r="40" spans="1:9" x14ac:dyDescent="0.3">
      <c r="A40">
        <v>39</v>
      </c>
      <c r="B40">
        <v>3</v>
      </c>
      <c r="C40">
        <v>83</v>
      </c>
      <c r="D40" s="1">
        <v>45731</v>
      </c>
      <c r="E40" t="s">
        <v>73</v>
      </c>
      <c r="F40" t="s">
        <v>75</v>
      </c>
      <c r="G40" t="s">
        <v>14</v>
      </c>
      <c r="H40">
        <v>32.76</v>
      </c>
      <c r="I40">
        <v>0</v>
      </c>
    </row>
    <row r="41" spans="1:9" x14ac:dyDescent="0.3">
      <c r="A41">
        <v>40</v>
      </c>
      <c r="B41">
        <v>4</v>
      </c>
      <c r="C41">
        <v>7</v>
      </c>
      <c r="D41" s="1">
        <v>45671</v>
      </c>
      <c r="E41" t="s">
        <v>76</v>
      </c>
      <c r="F41" t="s">
        <v>74</v>
      </c>
      <c r="G41" t="s">
        <v>14</v>
      </c>
      <c r="H41">
        <v>42.62</v>
      </c>
      <c r="I41">
        <v>0</v>
      </c>
    </row>
    <row r="42" spans="1:9" x14ac:dyDescent="0.3">
      <c r="A42">
        <v>41</v>
      </c>
      <c r="B42">
        <v>4</v>
      </c>
      <c r="C42">
        <v>14</v>
      </c>
      <c r="D42" s="1">
        <v>45746</v>
      </c>
      <c r="E42" t="s">
        <v>78</v>
      </c>
      <c r="F42" t="s">
        <v>75</v>
      </c>
      <c r="G42" t="s">
        <v>14</v>
      </c>
      <c r="H42">
        <v>18.010000000000002</v>
      </c>
      <c r="I42">
        <v>1</v>
      </c>
    </row>
    <row r="43" spans="1:9" x14ac:dyDescent="0.3">
      <c r="A43">
        <v>42</v>
      </c>
      <c r="B43">
        <v>5</v>
      </c>
      <c r="C43">
        <v>70</v>
      </c>
      <c r="D43" s="1">
        <v>45662</v>
      </c>
      <c r="E43" t="s">
        <v>76</v>
      </c>
      <c r="F43" t="s">
        <v>75</v>
      </c>
      <c r="G43" t="s">
        <v>14</v>
      </c>
      <c r="H43">
        <v>32.07</v>
      </c>
      <c r="I43">
        <v>1</v>
      </c>
    </row>
    <row r="44" spans="1:9" x14ac:dyDescent="0.3">
      <c r="A44">
        <v>43</v>
      </c>
      <c r="B44">
        <v>3</v>
      </c>
      <c r="C44">
        <v>9</v>
      </c>
      <c r="D44" s="1">
        <v>45747</v>
      </c>
      <c r="E44" t="s">
        <v>78</v>
      </c>
      <c r="F44" t="s">
        <v>77</v>
      </c>
      <c r="G44" t="s">
        <v>14</v>
      </c>
      <c r="H44">
        <v>21.28</v>
      </c>
      <c r="I44">
        <v>1</v>
      </c>
    </row>
    <row r="45" spans="1:9" x14ac:dyDescent="0.3">
      <c r="A45">
        <v>44</v>
      </c>
      <c r="B45">
        <v>5</v>
      </c>
      <c r="C45">
        <v>94</v>
      </c>
      <c r="D45" s="1">
        <v>45667</v>
      </c>
      <c r="E45" t="s">
        <v>76</v>
      </c>
      <c r="F45" t="s">
        <v>74</v>
      </c>
      <c r="G45" t="s">
        <v>14</v>
      </c>
      <c r="H45">
        <v>28.7</v>
      </c>
      <c r="I45">
        <v>0</v>
      </c>
    </row>
    <row r="46" spans="1:9" x14ac:dyDescent="0.3">
      <c r="A46">
        <v>45</v>
      </c>
      <c r="B46">
        <v>4</v>
      </c>
      <c r="C46">
        <v>15</v>
      </c>
      <c r="D46" s="1">
        <v>45767</v>
      </c>
      <c r="E46" t="s">
        <v>73</v>
      </c>
      <c r="F46" t="s">
        <v>77</v>
      </c>
      <c r="G46" t="s">
        <v>14</v>
      </c>
      <c r="H46">
        <v>39.25</v>
      </c>
      <c r="I46">
        <v>0</v>
      </c>
    </row>
    <row r="47" spans="1:9" x14ac:dyDescent="0.3">
      <c r="A47">
        <v>46</v>
      </c>
      <c r="B47">
        <v>4</v>
      </c>
      <c r="C47">
        <v>59</v>
      </c>
      <c r="D47" s="1">
        <v>45719</v>
      </c>
      <c r="E47" t="s">
        <v>73</v>
      </c>
      <c r="F47" t="s">
        <v>77</v>
      </c>
      <c r="G47" t="s">
        <v>14</v>
      </c>
      <c r="H47">
        <v>16.489999999999998</v>
      </c>
      <c r="I47">
        <v>0</v>
      </c>
    </row>
    <row r="48" spans="1:9" x14ac:dyDescent="0.3">
      <c r="A48">
        <v>47</v>
      </c>
      <c r="B48">
        <v>3</v>
      </c>
      <c r="C48">
        <v>51</v>
      </c>
      <c r="D48" s="1">
        <v>45735</v>
      </c>
      <c r="E48" t="s">
        <v>73</v>
      </c>
      <c r="F48" t="s">
        <v>74</v>
      </c>
      <c r="G48" t="s">
        <v>14</v>
      </c>
      <c r="H48">
        <v>49.39</v>
      </c>
      <c r="I48">
        <v>0</v>
      </c>
    </row>
    <row r="49" spans="1:9" x14ac:dyDescent="0.3">
      <c r="A49">
        <v>48</v>
      </c>
      <c r="B49">
        <v>1</v>
      </c>
      <c r="C49">
        <v>49</v>
      </c>
      <c r="D49" s="1">
        <v>45749</v>
      </c>
      <c r="E49" t="s">
        <v>78</v>
      </c>
      <c r="F49" t="s">
        <v>74</v>
      </c>
      <c r="G49" t="s">
        <v>14</v>
      </c>
      <c r="H49">
        <v>27.74</v>
      </c>
      <c r="I49">
        <v>0</v>
      </c>
    </row>
    <row r="50" spans="1:9" x14ac:dyDescent="0.3">
      <c r="A50">
        <v>49</v>
      </c>
      <c r="B50">
        <v>1</v>
      </c>
      <c r="C50">
        <v>17</v>
      </c>
      <c r="D50" s="1">
        <v>45777</v>
      </c>
      <c r="E50" t="s">
        <v>78</v>
      </c>
      <c r="F50" t="s">
        <v>74</v>
      </c>
      <c r="G50" t="s">
        <v>14</v>
      </c>
      <c r="H50">
        <v>45.55</v>
      </c>
      <c r="I50">
        <v>1</v>
      </c>
    </row>
    <row r="51" spans="1:9" x14ac:dyDescent="0.3">
      <c r="A51">
        <v>50</v>
      </c>
      <c r="B51">
        <v>4</v>
      </c>
      <c r="C51">
        <v>67</v>
      </c>
      <c r="D51" s="1">
        <v>45711</v>
      </c>
      <c r="E51" t="s">
        <v>73</v>
      </c>
      <c r="F51" t="s">
        <v>74</v>
      </c>
      <c r="G51" t="s">
        <v>14</v>
      </c>
      <c r="H51">
        <v>49.68</v>
      </c>
      <c r="I51">
        <v>1</v>
      </c>
    </row>
    <row r="52" spans="1:9" x14ac:dyDescent="0.3">
      <c r="A52">
        <v>51</v>
      </c>
      <c r="B52">
        <v>4</v>
      </c>
      <c r="C52">
        <v>27</v>
      </c>
      <c r="D52" s="1">
        <v>45777</v>
      </c>
      <c r="E52" t="s">
        <v>76</v>
      </c>
      <c r="F52" t="s">
        <v>75</v>
      </c>
      <c r="G52" t="s">
        <v>14</v>
      </c>
      <c r="H52">
        <v>28.29</v>
      </c>
      <c r="I52">
        <v>0</v>
      </c>
    </row>
    <row r="53" spans="1:9" x14ac:dyDescent="0.3">
      <c r="A53">
        <v>52</v>
      </c>
      <c r="B53">
        <v>2</v>
      </c>
      <c r="C53">
        <v>78</v>
      </c>
      <c r="D53" s="1">
        <v>45709</v>
      </c>
      <c r="E53" t="s">
        <v>78</v>
      </c>
      <c r="F53" t="s">
        <v>77</v>
      </c>
      <c r="G53" t="s">
        <v>14</v>
      </c>
      <c r="H53">
        <v>2.2000000000000002</v>
      </c>
      <c r="I53">
        <v>1</v>
      </c>
    </row>
    <row r="54" spans="1:9" x14ac:dyDescent="0.3">
      <c r="A54">
        <v>53</v>
      </c>
      <c r="B54">
        <v>3</v>
      </c>
      <c r="C54">
        <v>48</v>
      </c>
      <c r="D54" s="1">
        <v>45705</v>
      </c>
      <c r="E54" t="s">
        <v>73</v>
      </c>
      <c r="F54" t="s">
        <v>77</v>
      </c>
      <c r="G54" t="s">
        <v>14</v>
      </c>
      <c r="H54">
        <v>2.2599999999999998</v>
      </c>
      <c r="I54">
        <v>1</v>
      </c>
    </row>
    <row r="55" spans="1:9" x14ac:dyDescent="0.3">
      <c r="A55">
        <v>54</v>
      </c>
      <c r="B55">
        <v>2</v>
      </c>
      <c r="C55">
        <v>49</v>
      </c>
      <c r="D55" s="1">
        <v>45706</v>
      </c>
      <c r="E55" t="s">
        <v>76</v>
      </c>
      <c r="F55" t="s">
        <v>74</v>
      </c>
      <c r="G55" t="s">
        <v>14</v>
      </c>
      <c r="H55">
        <v>23.25</v>
      </c>
      <c r="I55">
        <v>0</v>
      </c>
    </row>
    <row r="56" spans="1:9" x14ac:dyDescent="0.3">
      <c r="A56">
        <v>55</v>
      </c>
      <c r="B56">
        <v>3</v>
      </c>
      <c r="C56">
        <v>89</v>
      </c>
      <c r="D56" s="1">
        <v>45709</v>
      </c>
      <c r="E56" t="s">
        <v>73</v>
      </c>
      <c r="F56" t="s">
        <v>77</v>
      </c>
      <c r="G56" t="s">
        <v>14</v>
      </c>
      <c r="H56">
        <v>44.55</v>
      </c>
      <c r="I56">
        <v>1</v>
      </c>
    </row>
    <row r="57" spans="1:9" x14ac:dyDescent="0.3">
      <c r="A57">
        <v>56</v>
      </c>
      <c r="B57">
        <v>5</v>
      </c>
      <c r="C57">
        <v>26</v>
      </c>
      <c r="D57" s="1">
        <v>45762</v>
      </c>
      <c r="E57" t="s">
        <v>76</v>
      </c>
      <c r="F57" t="s">
        <v>77</v>
      </c>
      <c r="G57" t="s">
        <v>14</v>
      </c>
      <c r="H57">
        <v>38.56</v>
      </c>
      <c r="I57">
        <v>0</v>
      </c>
    </row>
    <row r="58" spans="1:9" x14ac:dyDescent="0.3">
      <c r="A58">
        <v>57</v>
      </c>
      <c r="B58">
        <v>1</v>
      </c>
      <c r="C58">
        <v>61</v>
      </c>
      <c r="D58" s="1">
        <v>45749</v>
      </c>
      <c r="E58" t="s">
        <v>78</v>
      </c>
      <c r="F58" t="s">
        <v>74</v>
      </c>
      <c r="G58" t="s">
        <v>14</v>
      </c>
      <c r="H58">
        <v>44.93</v>
      </c>
      <c r="I58">
        <v>0</v>
      </c>
    </row>
    <row r="59" spans="1:9" x14ac:dyDescent="0.3">
      <c r="A59">
        <v>58</v>
      </c>
      <c r="B59">
        <v>5</v>
      </c>
      <c r="C59">
        <v>47</v>
      </c>
      <c r="D59" s="1">
        <v>45769</v>
      </c>
      <c r="E59" t="s">
        <v>73</v>
      </c>
      <c r="F59" t="s">
        <v>74</v>
      </c>
      <c r="G59" t="s">
        <v>14</v>
      </c>
      <c r="H59">
        <v>1.62</v>
      </c>
      <c r="I59">
        <v>0</v>
      </c>
    </row>
    <row r="60" spans="1:9" x14ac:dyDescent="0.3">
      <c r="A60">
        <v>59</v>
      </c>
      <c r="B60">
        <v>3</v>
      </c>
      <c r="C60">
        <v>70</v>
      </c>
      <c r="D60" s="1">
        <v>45756</v>
      </c>
      <c r="E60" t="s">
        <v>76</v>
      </c>
      <c r="F60" t="s">
        <v>74</v>
      </c>
      <c r="G60" t="s">
        <v>14</v>
      </c>
      <c r="H60">
        <v>37.049999999999997</v>
      </c>
      <c r="I60">
        <v>0</v>
      </c>
    </row>
    <row r="61" spans="1:9" x14ac:dyDescent="0.3">
      <c r="A61">
        <v>60</v>
      </c>
      <c r="B61">
        <v>1</v>
      </c>
      <c r="C61">
        <v>23</v>
      </c>
      <c r="D61" s="1">
        <v>45660</v>
      </c>
      <c r="E61" t="s">
        <v>78</v>
      </c>
      <c r="F61" t="s">
        <v>74</v>
      </c>
      <c r="G61" t="s">
        <v>14</v>
      </c>
      <c r="H61">
        <v>41.26</v>
      </c>
      <c r="I61">
        <v>1</v>
      </c>
    </row>
    <row r="62" spans="1:9" x14ac:dyDescent="0.3">
      <c r="A62">
        <v>61</v>
      </c>
      <c r="B62">
        <v>5</v>
      </c>
      <c r="C62">
        <v>57</v>
      </c>
      <c r="D62" s="1">
        <v>45687</v>
      </c>
      <c r="E62" t="s">
        <v>73</v>
      </c>
      <c r="F62" t="s">
        <v>75</v>
      </c>
      <c r="G62" t="s">
        <v>14</v>
      </c>
      <c r="H62">
        <v>15.51</v>
      </c>
      <c r="I62">
        <v>0</v>
      </c>
    </row>
    <row r="63" spans="1:9" x14ac:dyDescent="0.3">
      <c r="A63">
        <v>62</v>
      </c>
      <c r="B63">
        <v>3</v>
      </c>
      <c r="C63">
        <v>86</v>
      </c>
      <c r="D63" s="1">
        <v>45677</v>
      </c>
      <c r="E63" t="s">
        <v>73</v>
      </c>
      <c r="F63" t="s">
        <v>75</v>
      </c>
      <c r="G63" t="s">
        <v>14</v>
      </c>
      <c r="H63">
        <v>3.99</v>
      </c>
      <c r="I63">
        <v>1</v>
      </c>
    </row>
    <row r="64" spans="1:9" x14ac:dyDescent="0.3">
      <c r="A64">
        <v>63</v>
      </c>
      <c r="B64">
        <v>2</v>
      </c>
      <c r="C64">
        <v>53</v>
      </c>
      <c r="D64" s="1">
        <v>45753</v>
      </c>
      <c r="E64" t="s">
        <v>78</v>
      </c>
      <c r="F64" t="s">
        <v>77</v>
      </c>
      <c r="G64" t="s">
        <v>14</v>
      </c>
      <c r="H64">
        <v>9.26</v>
      </c>
      <c r="I64">
        <v>1</v>
      </c>
    </row>
    <row r="65" spans="1:9" x14ac:dyDescent="0.3">
      <c r="A65">
        <v>64</v>
      </c>
      <c r="B65">
        <v>5</v>
      </c>
      <c r="C65">
        <v>70</v>
      </c>
      <c r="D65" s="1">
        <v>45713</v>
      </c>
      <c r="E65" t="s">
        <v>76</v>
      </c>
      <c r="F65" t="s">
        <v>77</v>
      </c>
      <c r="G65" t="s">
        <v>14</v>
      </c>
      <c r="H65">
        <v>12.37</v>
      </c>
      <c r="I65">
        <v>1</v>
      </c>
    </row>
    <row r="66" spans="1:9" x14ac:dyDescent="0.3">
      <c r="A66">
        <v>65</v>
      </c>
      <c r="B66">
        <v>5</v>
      </c>
      <c r="C66">
        <v>35</v>
      </c>
      <c r="D66" s="1">
        <v>45734</v>
      </c>
      <c r="E66" t="s">
        <v>78</v>
      </c>
      <c r="F66" t="s">
        <v>74</v>
      </c>
      <c r="G66" t="s">
        <v>14</v>
      </c>
      <c r="H66">
        <v>18.29</v>
      </c>
      <c r="I66">
        <v>0</v>
      </c>
    </row>
    <row r="67" spans="1:9" x14ac:dyDescent="0.3">
      <c r="A67">
        <v>66</v>
      </c>
      <c r="B67">
        <v>4</v>
      </c>
      <c r="C67">
        <v>43</v>
      </c>
      <c r="D67" s="1">
        <v>45671</v>
      </c>
      <c r="E67" t="s">
        <v>78</v>
      </c>
      <c r="F67" t="s">
        <v>75</v>
      </c>
      <c r="G67" t="s">
        <v>14</v>
      </c>
      <c r="H67">
        <v>25.75</v>
      </c>
      <c r="I67">
        <v>1</v>
      </c>
    </row>
    <row r="68" spans="1:9" x14ac:dyDescent="0.3">
      <c r="A68">
        <v>67</v>
      </c>
      <c r="B68">
        <v>2</v>
      </c>
      <c r="C68">
        <v>25</v>
      </c>
      <c r="D68" s="1">
        <v>45671</v>
      </c>
      <c r="E68" t="s">
        <v>78</v>
      </c>
      <c r="F68" t="s">
        <v>74</v>
      </c>
      <c r="G68" t="s">
        <v>14</v>
      </c>
      <c r="H68">
        <v>25.42</v>
      </c>
      <c r="I68">
        <v>1</v>
      </c>
    </row>
    <row r="69" spans="1:9" x14ac:dyDescent="0.3">
      <c r="A69">
        <v>68</v>
      </c>
      <c r="B69">
        <v>3</v>
      </c>
      <c r="C69">
        <v>90</v>
      </c>
      <c r="D69" s="1">
        <v>45733</v>
      </c>
      <c r="E69" t="s">
        <v>73</v>
      </c>
      <c r="F69" t="s">
        <v>75</v>
      </c>
      <c r="G69" t="s">
        <v>14</v>
      </c>
      <c r="H69">
        <v>25.68</v>
      </c>
      <c r="I69">
        <v>0</v>
      </c>
    </row>
    <row r="70" spans="1:9" x14ac:dyDescent="0.3">
      <c r="A70">
        <v>69</v>
      </c>
      <c r="B70">
        <v>1</v>
      </c>
      <c r="C70">
        <v>90</v>
      </c>
      <c r="D70" s="1">
        <v>45776</v>
      </c>
      <c r="E70" t="s">
        <v>73</v>
      </c>
      <c r="F70" t="s">
        <v>74</v>
      </c>
      <c r="G70" t="s">
        <v>14</v>
      </c>
      <c r="H70">
        <v>45.36</v>
      </c>
      <c r="I70">
        <v>1</v>
      </c>
    </row>
    <row r="71" spans="1:9" x14ac:dyDescent="0.3">
      <c r="A71">
        <v>70</v>
      </c>
      <c r="B71">
        <v>5</v>
      </c>
      <c r="C71">
        <v>90</v>
      </c>
      <c r="D71" s="1">
        <v>45693</v>
      </c>
      <c r="E71" t="s">
        <v>73</v>
      </c>
      <c r="F71" t="s">
        <v>74</v>
      </c>
      <c r="G71" t="s">
        <v>14</v>
      </c>
      <c r="H71">
        <v>17.16</v>
      </c>
      <c r="I71">
        <v>0</v>
      </c>
    </row>
    <row r="72" spans="1:9" x14ac:dyDescent="0.3">
      <c r="A72">
        <v>71</v>
      </c>
      <c r="B72">
        <v>2</v>
      </c>
      <c r="C72">
        <v>2</v>
      </c>
      <c r="D72" s="1">
        <v>45774</v>
      </c>
      <c r="E72" t="s">
        <v>78</v>
      </c>
      <c r="F72" t="s">
        <v>77</v>
      </c>
      <c r="G72" t="s">
        <v>14</v>
      </c>
      <c r="H72">
        <v>1.61</v>
      </c>
      <c r="I72">
        <v>1</v>
      </c>
    </row>
    <row r="73" spans="1:9" x14ac:dyDescent="0.3">
      <c r="A73">
        <v>72</v>
      </c>
      <c r="B73">
        <v>3</v>
      </c>
      <c r="C73">
        <v>28</v>
      </c>
      <c r="D73" s="1">
        <v>45686</v>
      </c>
      <c r="E73" t="s">
        <v>78</v>
      </c>
      <c r="F73" t="s">
        <v>77</v>
      </c>
      <c r="G73" t="s">
        <v>14</v>
      </c>
      <c r="H73">
        <v>46.01</v>
      </c>
      <c r="I73">
        <v>0</v>
      </c>
    </row>
    <row r="74" spans="1:9" x14ac:dyDescent="0.3">
      <c r="A74">
        <v>73</v>
      </c>
      <c r="B74">
        <v>4</v>
      </c>
      <c r="C74">
        <v>68</v>
      </c>
      <c r="D74" s="1">
        <v>45739</v>
      </c>
      <c r="E74" t="s">
        <v>73</v>
      </c>
      <c r="F74" t="s">
        <v>74</v>
      </c>
      <c r="G74" t="s">
        <v>14</v>
      </c>
      <c r="H74">
        <v>1.17</v>
      </c>
      <c r="I74">
        <v>1</v>
      </c>
    </row>
    <row r="75" spans="1:9" x14ac:dyDescent="0.3">
      <c r="A75">
        <v>74</v>
      </c>
      <c r="B75">
        <v>3</v>
      </c>
      <c r="C75">
        <v>80</v>
      </c>
      <c r="D75" s="1">
        <v>45737</v>
      </c>
      <c r="E75" t="s">
        <v>78</v>
      </c>
      <c r="F75" t="s">
        <v>74</v>
      </c>
      <c r="G75" t="s">
        <v>14</v>
      </c>
      <c r="H75">
        <v>10.92</v>
      </c>
      <c r="I75">
        <v>1</v>
      </c>
    </row>
    <row r="76" spans="1:9" x14ac:dyDescent="0.3">
      <c r="A76">
        <v>75</v>
      </c>
      <c r="B76">
        <v>5</v>
      </c>
      <c r="C76">
        <v>90</v>
      </c>
      <c r="D76" s="1">
        <v>45688</v>
      </c>
      <c r="E76" t="s">
        <v>78</v>
      </c>
      <c r="F76" t="s">
        <v>77</v>
      </c>
      <c r="G76" t="s">
        <v>14</v>
      </c>
      <c r="H76">
        <v>18.5</v>
      </c>
      <c r="I76">
        <v>0</v>
      </c>
    </row>
    <row r="77" spans="1:9" x14ac:dyDescent="0.3">
      <c r="A77">
        <v>76</v>
      </c>
      <c r="B77">
        <v>3</v>
      </c>
      <c r="C77">
        <v>97</v>
      </c>
      <c r="D77" s="1">
        <v>45731</v>
      </c>
      <c r="E77" t="s">
        <v>73</v>
      </c>
      <c r="F77" t="s">
        <v>75</v>
      </c>
      <c r="G77" t="s">
        <v>14</v>
      </c>
      <c r="H77">
        <v>40.46</v>
      </c>
      <c r="I77">
        <v>0</v>
      </c>
    </row>
    <row r="78" spans="1:9" x14ac:dyDescent="0.3">
      <c r="A78">
        <v>77</v>
      </c>
      <c r="B78">
        <v>1</v>
      </c>
      <c r="C78">
        <v>52</v>
      </c>
      <c r="D78" s="1">
        <v>45736</v>
      </c>
      <c r="E78" t="s">
        <v>78</v>
      </c>
      <c r="F78" t="s">
        <v>75</v>
      </c>
      <c r="G78" t="s">
        <v>14</v>
      </c>
      <c r="H78">
        <v>48.49</v>
      </c>
      <c r="I78">
        <v>1</v>
      </c>
    </row>
    <row r="79" spans="1:9" x14ac:dyDescent="0.3">
      <c r="A79">
        <v>78</v>
      </c>
      <c r="B79">
        <v>1</v>
      </c>
      <c r="C79">
        <v>86</v>
      </c>
      <c r="D79" s="1">
        <v>45668</v>
      </c>
      <c r="E79" t="s">
        <v>78</v>
      </c>
      <c r="F79" t="s">
        <v>75</v>
      </c>
      <c r="G79" t="s">
        <v>14</v>
      </c>
      <c r="H79">
        <v>32.03</v>
      </c>
      <c r="I79">
        <v>1</v>
      </c>
    </row>
    <row r="80" spans="1:9" x14ac:dyDescent="0.3">
      <c r="A80">
        <v>79</v>
      </c>
      <c r="B80">
        <v>3</v>
      </c>
      <c r="C80">
        <v>82</v>
      </c>
      <c r="D80" s="1">
        <v>45705</v>
      </c>
      <c r="E80" t="s">
        <v>73</v>
      </c>
      <c r="F80" t="s">
        <v>75</v>
      </c>
      <c r="G80" t="s">
        <v>14</v>
      </c>
      <c r="H80">
        <v>11.96</v>
      </c>
      <c r="I80">
        <v>0</v>
      </c>
    </row>
    <row r="81" spans="1:9" x14ac:dyDescent="0.3">
      <c r="A81">
        <v>80</v>
      </c>
      <c r="B81">
        <v>1</v>
      </c>
      <c r="C81">
        <v>10</v>
      </c>
      <c r="D81" s="1">
        <v>45693</v>
      </c>
      <c r="E81" t="s">
        <v>73</v>
      </c>
      <c r="F81" t="s">
        <v>77</v>
      </c>
      <c r="G81" t="s">
        <v>14</v>
      </c>
      <c r="H81">
        <v>33.39</v>
      </c>
      <c r="I81">
        <v>0</v>
      </c>
    </row>
    <row r="82" spans="1:9" x14ac:dyDescent="0.3">
      <c r="A82">
        <v>81</v>
      </c>
      <c r="B82">
        <v>2</v>
      </c>
      <c r="C82">
        <v>30</v>
      </c>
      <c r="D82" s="1">
        <v>45669</v>
      </c>
      <c r="E82" t="s">
        <v>73</v>
      </c>
      <c r="F82" t="s">
        <v>75</v>
      </c>
      <c r="G82" t="s">
        <v>14</v>
      </c>
      <c r="H82">
        <v>22.21</v>
      </c>
      <c r="I82">
        <v>1</v>
      </c>
    </row>
    <row r="83" spans="1:9" x14ac:dyDescent="0.3">
      <c r="A83">
        <v>82</v>
      </c>
      <c r="B83">
        <v>5</v>
      </c>
      <c r="C83">
        <v>5</v>
      </c>
      <c r="D83" s="1">
        <v>45751</v>
      </c>
      <c r="E83" t="s">
        <v>73</v>
      </c>
      <c r="F83" t="s">
        <v>74</v>
      </c>
      <c r="G83" t="s">
        <v>14</v>
      </c>
      <c r="H83">
        <v>7.35</v>
      </c>
      <c r="I83">
        <v>0</v>
      </c>
    </row>
    <row r="84" spans="1:9" x14ac:dyDescent="0.3">
      <c r="A84">
        <v>83</v>
      </c>
      <c r="B84">
        <v>1</v>
      </c>
      <c r="C84">
        <v>53</v>
      </c>
      <c r="D84" s="1">
        <v>45686</v>
      </c>
      <c r="E84" t="s">
        <v>76</v>
      </c>
      <c r="F84" t="s">
        <v>74</v>
      </c>
      <c r="G84" t="s">
        <v>14</v>
      </c>
      <c r="H84">
        <v>45.41</v>
      </c>
      <c r="I84">
        <v>0</v>
      </c>
    </row>
    <row r="85" spans="1:9" x14ac:dyDescent="0.3">
      <c r="A85">
        <v>84</v>
      </c>
      <c r="B85">
        <v>4</v>
      </c>
      <c r="C85">
        <v>70</v>
      </c>
      <c r="D85" s="1">
        <v>45751</v>
      </c>
      <c r="E85" t="s">
        <v>76</v>
      </c>
      <c r="F85" t="s">
        <v>75</v>
      </c>
      <c r="G85" t="s">
        <v>14</v>
      </c>
      <c r="H85">
        <v>29.58</v>
      </c>
      <c r="I85">
        <v>0</v>
      </c>
    </row>
    <row r="86" spans="1:9" x14ac:dyDescent="0.3">
      <c r="A86">
        <v>85</v>
      </c>
      <c r="B86">
        <v>4</v>
      </c>
      <c r="C86">
        <v>36</v>
      </c>
      <c r="D86" s="1">
        <v>45659</v>
      </c>
      <c r="E86" t="s">
        <v>76</v>
      </c>
      <c r="F86" t="s">
        <v>77</v>
      </c>
      <c r="G86" t="s">
        <v>14</v>
      </c>
      <c r="H86">
        <v>4.99</v>
      </c>
      <c r="I86">
        <v>1</v>
      </c>
    </row>
    <row r="87" spans="1:9" x14ac:dyDescent="0.3">
      <c r="A87">
        <v>86</v>
      </c>
      <c r="B87">
        <v>5</v>
      </c>
      <c r="C87">
        <v>43</v>
      </c>
      <c r="D87" s="1">
        <v>45721</v>
      </c>
      <c r="E87" t="s">
        <v>78</v>
      </c>
      <c r="F87" t="s">
        <v>74</v>
      </c>
      <c r="G87" t="s">
        <v>14</v>
      </c>
      <c r="H87">
        <v>15.99</v>
      </c>
      <c r="I87">
        <v>1</v>
      </c>
    </row>
    <row r="88" spans="1:9" x14ac:dyDescent="0.3">
      <c r="A88">
        <v>87</v>
      </c>
      <c r="B88">
        <v>2</v>
      </c>
      <c r="C88">
        <v>85</v>
      </c>
      <c r="D88" s="1">
        <v>45711</v>
      </c>
      <c r="E88" t="s">
        <v>76</v>
      </c>
      <c r="F88" t="s">
        <v>77</v>
      </c>
      <c r="G88" t="s">
        <v>14</v>
      </c>
      <c r="H88">
        <v>25.71</v>
      </c>
      <c r="I88">
        <v>0</v>
      </c>
    </row>
    <row r="89" spans="1:9" x14ac:dyDescent="0.3">
      <c r="A89">
        <v>88</v>
      </c>
      <c r="B89">
        <v>3</v>
      </c>
      <c r="C89">
        <v>69</v>
      </c>
      <c r="D89" s="1">
        <v>45692</v>
      </c>
      <c r="E89" t="s">
        <v>78</v>
      </c>
      <c r="F89" t="s">
        <v>75</v>
      </c>
      <c r="G89" t="s">
        <v>14</v>
      </c>
      <c r="H89">
        <v>4.04</v>
      </c>
      <c r="I89">
        <v>1</v>
      </c>
    </row>
    <row r="90" spans="1:9" x14ac:dyDescent="0.3">
      <c r="A90">
        <v>89</v>
      </c>
      <c r="B90">
        <v>1</v>
      </c>
      <c r="C90">
        <v>3</v>
      </c>
      <c r="D90" s="1">
        <v>45722</v>
      </c>
      <c r="E90" t="s">
        <v>76</v>
      </c>
      <c r="F90" t="s">
        <v>75</v>
      </c>
      <c r="G90" t="s">
        <v>14</v>
      </c>
      <c r="H90">
        <v>22.45</v>
      </c>
      <c r="I90">
        <v>1</v>
      </c>
    </row>
    <row r="91" spans="1:9" x14ac:dyDescent="0.3">
      <c r="A91">
        <v>90</v>
      </c>
      <c r="B91">
        <v>5</v>
      </c>
      <c r="C91">
        <v>49</v>
      </c>
      <c r="D91" s="1">
        <v>45741</v>
      </c>
      <c r="E91" t="s">
        <v>73</v>
      </c>
      <c r="F91" t="s">
        <v>75</v>
      </c>
      <c r="G91" t="s">
        <v>14</v>
      </c>
      <c r="H91">
        <v>33.49</v>
      </c>
      <c r="I91">
        <v>0</v>
      </c>
    </row>
    <row r="92" spans="1:9" x14ac:dyDescent="0.3">
      <c r="A92">
        <v>91</v>
      </c>
      <c r="B92">
        <v>4</v>
      </c>
      <c r="C92">
        <v>65</v>
      </c>
      <c r="D92" s="1">
        <v>45714</v>
      </c>
      <c r="E92" t="s">
        <v>73</v>
      </c>
      <c r="F92" t="s">
        <v>74</v>
      </c>
      <c r="G92" t="s">
        <v>14</v>
      </c>
      <c r="H92">
        <v>42.2</v>
      </c>
      <c r="I92">
        <v>1</v>
      </c>
    </row>
    <row r="93" spans="1:9" x14ac:dyDescent="0.3">
      <c r="A93">
        <v>92</v>
      </c>
      <c r="B93">
        <v>1</v>
      </c>
      <c r="C93">
        <v>2</v>
      </c>
      <c r="D93" s="1">
        <v>45765</v>
      </c>
      <c r="E93" t="s">
        <v>73</v>
      </c>
      <c r="F93" t="s">
        <v>74</v>
      </c>
      <c r="G93" t="s">
        <v>14</v>
      </c>
      <c r="H93">
        <v>20.05</v>
      </c>
      <c r="I93">
        <v>0</v>
      </c>
    </row>
    <row r="94" spans="1:9" x14ac:dyDescent="0.3">
      <c r="A94">
        <v>93</v>
      </c>
      <c r="B94">
        <v>5</v>
      </c>
      <c r="C94">
        <v>30</v>
      </c>
      <c r="D94" s="1">
        <v>45750</v>
      </c>
      <c r="E94" t="s">
        <v>73</v>
      </c>
      <c r="F94" t="s">
        <v>77</v>
      </c>
      <c r="G94" t="s">
        <v>14</v>
      </c>
      <c r="H94">
        <v>44.14</v>
      </c>
      <c r="I94">
        <v>1</v>
      </c>
    </row>
    <row r="95" spans="1:9" x14ac:dyDescent="0.3">
      <c r="A95">
        <v>94</v>
      </c>
      <c r="B95">
        <v>2</v>
      </c>
      <c r="C95">
        <v>38</v>
      </c>
      <c r="D95" s="1">
        <v>45760</v>
      </c>
      <c r="E95" t="s">
        <v>78</v>
      </c>
      <c r="F95" t="s">
        <v>74</v>
      </c>
      <c r="G95" t="s">
        <v>14</v>
      </c>
      <c r="H95">
        <v>28.59</v>
      </c>
      <c r="I95">
        <v>1</v>
      </c>
    </row>
    <row r="96" spans="1:9" x14ac:dyDescent="0.3">
      <c r="A96">
        <v>95</v>
      </c>
      <c r="B96">
        <v>2</v>
      </c>
      <c r="C96">
        <v>13</v>
      </c>
      <c r="D96" s="1">
        <v>45729</v>
      </c>
      <c r="E96" t="s">
        <v>76</v>
      </c>
      <c r="F96" t="s">
        <v>74</v>
      </c>
      <c r="G96" t="s">
        <v>14</v>
      </c>
      <c r="H96">
        <v>42.66</v>
      </c>
      <c r="I96">
        <v>0</v>
      </c>
    </row>
    <row r="97" spans="1:9" x14ac:dyDescent="0.3">
      <c r="A97">
        <v>96</v>
      </c>
      <c r="B97">
        <v>5</v>
      </c>
      <c r="C97">
        <v>70</v>
      </c>
      <c r="D97" s="1">
        <v>45666</v>
      </c>
      <c r="E97" t="s">
        <v>73</v>
      </c>
      <c r="F97" t="s">
        <v>77</v>
      </c>
      <c r="G97" t="s">
        <v>14</v>
      </c>
      <c r="H97">
        <v>26.51</v>
      </c>
      <c r="I97">
        <v>1</v>
      </c>
    </row>
    <row r="98" spans="1:9" x14ac:dyDescent="0.3">
      <c r="A98">
        <v>97</v>
      </c>
      <c r="B98">
        <v>3</v>
      </c>
      <c r="C98">
        <v>49</v>
      </c>
      <c r="D98" s="1">
        <v>45766</v>
      </c>
      <c r="E98" t="s">
        <v>76</v>
      </c>
      <c r="F98" t="s">
        <v>77</v>
      </c>
      <c r="G98" t="s">
        <v>14</v>
      </c>
      <c r="H98">
        <v>36.74</v>
      </c>
      <c r="I98">
        <v>0</v>
      </c>
    </row>
    <row r="99" spans="1:9" x14ac:dyDescent="0.3">
      <c r="A99">
        <v>98</v>
      </c>
      <c r="B99">
        <v>1</v>
      </c>
      <c r="C99">
        <v>88</v>
      </c>
      <c r="D99" s="1">
        <v>45666</v>
      </c>
      <c r="E99" t="s">
        <v>78</v>
      </c>
      <c r="F99" t="s">
        <v>75</v>
      </c>
      <c r="G99" t="s">
        <v>14</v>
      </c>
      <c r="H99">
        <v>17.28</v>
      </c>
      <c r="I99">
        <v>0</v>
      </c>
    </row>
    <row r="100" spans="1:9" x14ac:dyDescent="0.3">
      <c r="A100">
        <v>99</v>
      </c>
      <c r="B100">
        <v>4</v>
      </c>
      <c r="C100">
        <v>14</v>
      </c>
      <c r="D100" s="1">
        <v>45706</v>
      </c>
      <c r="E100" t="s">
        <v>78</v>
      </c>
      <c r="F100" t="s">
        <v>77</v>
      </c>
      <c r="G100" t="s">
        <v>14</v>
      </c>
      <c r="H100">
        <v>44.43</v>
      </c>
      <c r="I100">
        <v>0</v>
      </c>
    </row>
    <row r="101" spans="1:9" x14ac:dyDescent="0.3">
      <c r="A101">
        <v>100</v>
      </c>
      <c r="B101">
        <v>1</v>
      </c>
      <c r="C101">
        <v>59</v>
      </c>
      <c r="D101" s="1">
        <v>45734</v>
      </c>
      <c r="E101" t="s">
        <v>73</v>
      </c>
      <c r="F101" t="s">
        <v>75</v>
      </c>
      <c r="G101" t="s">
        <v>14</v>
      </c>
      <c r="H101">
        <v>41.93</v>
      </c>
      <c r="I101">
        <v>1</v>
      </c>
    </row>
  </sheetData>
  <mergeCells count="3">
    <mergeCell ref="L8:M8"/>
    <mergeCell ref="L17:M17"/>
    <mergeCell ref="L1:M1"/>
  </mergeCells>
  <pageMargins left="0.75" right="0.75" top="1" bottom="1" header="0.5" footer="0.5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1"/>
  <sheetViews>
    <sheetView tabSelected="1" workbookViewId="0">
      <selection activeCell="I21" sqref="I21"/>
    </sheetView>
  </sheetViews>
  <sheetFormatPr defaultRowHeight="14.4" x14ac:dyDescent="0.3"/>
  <cols>
    <col min="1" max="1" width="14.6640625" customWidth="1"/>
    <col min="2" max="2" width="13.6640625" customWidth="1"/>
    <col min="3" max="3" width="13.33203125" customWidth="1"/>
    <col min="4" max="4" width="16.88671875" customWidth="1"/>
    <col min="5" max="5" width="17.44140625" customWidth="1"/>
    <col min="6" max="6" width="17.88671875" customWidth="1"/>
    <col min="7" max="7" width="17.33203125" customWidth="1"/>
    <col min="10" max="10" width="12.5546875" bestFit="1" customWidth="1"/>
    <col min="11" max="11" width="22.33203125" bestFit="1" customWidth="1"/>
    <col min="12" max="12" width="10.88671875" customWidth="1"/>
    <col min="13" max="13" width="11.33203125" customWidth="1"/>
  </cols>
  <sheetData>
    <row r="1" spans="1:13" x14ac:dyDescent="0.3">
      <c r="A1" t="s">
        <v>79</v>
      </c>
      <c r="B1" t="s">
        <v>46</v>
      </c>
      <c r="C1" t="s">
        <v>0</v>
      </c>
      <c r="D1" t="s">
        <v>80</v>
      </c>
      <c r="E1" t="s">
        <v>81</v>
      </c>
      <c r="F1" t="s">
        <v>82</v>
      </c>
      <c r="G1" t="s">
        <v>83</v>
      </c>
    </row>
    <row r="2" spans="1:13" x14ac:dyDescent="0.3">
      <c r="A2">
        <v>1</v>
      </c>
      <c r="B2">
        <v>3</v>
      </c>
      <c r="C2">
        <v>64</v>
      </c>
      <c r="D2" s="1">
        <v>45761</v>
      </c>
      <c r="E2">
        <v>3127.82</v>
      </c>
      <c r="F2" t="s">
        <v>84</v>
      </c>
      <c r="G2">
        <v>0</v>
      </c>
    </row>
    <row r="3" spans="1:13" x14ac:dyDescent="0.3">
      <c r="A3">
        <v>2</v>
      </c>
      <c r="B3">
        <v>2</v>
      </c>
      <c r="C3">
        <v>27</v>
      </c>
      <c r="D3" s="1">
        <v>45675</v>
      </c>
      <c r="E3">
        <v>7510.13</v>
      </c>
      <c r="F3" t="s">
        <v>85</v>
      </c>
      <c r="G3">
        <v>0</v>
      </c>
    </row>
    <row r="4" spans="1:13" x14ac:dyDescent="0.3">
      <c r="A4">
        <v>3</v>
      </c>
      <c r="B4">
        <v>3</v>
      </c>
      <c r="C4">
        <v>92</v>
      </c>
      <c r="D4" s="1">
        <v>45673</v>
      </c>
      <c r="E4">
        <v>8516.17</v>
      </c>
      <c r="F4" t="s">
        <v>85</v>
      </c>
      <c r="G4">
        <v>1</v>
      </c>
      <c r="J4" s="5" t="s">
        <v>98</v>
      </c>
      <c r="K4" s="5"/>
      <c r="L4" s="5"/>
      <c r="M4" s="5"/>
    </row>
    <row r="5" spans="1:13" x14ac:dyDescent="0.3">
      <c r="A5">
        <v>4</v>
      </c>
      <c r="B5">
        <v>4</v>
      </c>
      <c r="C5">
        <v>47</v>
      </c>
      <c r="D5" s="1">
        <v>45725</v>
      </c>
      <c r="E5">
        <v>2375.91</v>
      </c>
      <c r="F5" t="s">
        <v>86</v>
      </c>
      <c r="G5">
        <v>1</v>
      </c>
      <c r="J5" t="s">
        <v>84</v>
      </c>
      <c r="K5" t="s">
        <v>84</v>
      </c>
      <c r="L5">
        <f>SUMIF(Table4[product_category],K5,Table4[revenue_amount])</f>
        <v>65284.72</v>
      </c>
    </row>
    <row r="6" spans="1:13" x14ac:dyDescent="0.3">
      <c r="A6">
        <v>5</v>
      </c>
      <c r="B6">
        <v>3</v>
      </c>
      <c r="C6">
        <v>32</v>
      </c>
      <c r="D6" s="1">
        <v>45733</v>
      </c>
      <c r="E6">
        <v>7135.11</v>
      </c>
      <c r="F6" t="s">
        <v>85</v>
      </c>
      <c r="G6">
        <v>1</v>
      </c>
      <c r="J6" t="s">
        <v>85</v>
      </c>
    </row>
    <row r="7" spans="1:13" x14ac:dyDescent="0.3">
      <c r="A7">
        <v>6</v>
      </c>
      <c r="B7">
        <v>4</v>
      </c>
      <c r="C7">
        <v>12</v>
      </c>
      <c r="D7" s="1">
        <v>45684</v>
      </c>
      <c r="E7">
        <v>5427.02</v>
      </c>
      <c r="F7" t="s">
        <v>84</v>
      </c>
      <c r="G7">
        <v>1</v>
      </c>
      <c r="J7" t="s">
        <v>86</v>
      </c>
    </row>
    <row r="8" spans="1:13" x14ac:dyDescent="0.3">
      <c r="A8">
        <v>7</v>
      </c>
      <c r="B8">
        <v>1</v>
      </c>
      <c r="C8">
        <v>35</v>
      </c>
      <c r="D8" s="1">
        <v>45742</v>
      </c>
      <c r="E8">
        <v>8789.4500000000007</v>
      </c>
      <c r="F8" t="s">
        <v>86</v>
      </c>
      <c r="G8">
        <v>0</v>
      </c>
      <c r="J8" t="s">
        <v>84</v>
      </c>
    </row>
    <row r="9" spans="1:13" x14ac:dyDescent="0.3">
      <c r="A9">
        <v>8</v>
      </c>
      <c r="B9">
        <v>1</v>
      </c>
      <c r="C9">
        <v>96</v>
      </c>
      <c r="D9" s="1">
        <v>45695</v>
      </c>
      <c r="E9">
        <v>2194.11</v>
      </c>
      <c r="F9" t="s">
        <v>87</v>
      </c>
      <c r="G9">
        <v>1</v>
      </c>
      <c r="J9" t="s">
        <v>87</v>
      </c>
    </row>
    <row r="10" spans="1:13" x14ac:dyDescent="0.3">
      <c r="A10">
        <v>9</v>
      </c>
      <c r="B10">
        <v>5</v>
      </c>
      <c r="C10">
        <v>100</v>
      </c>
      <c r="D10" s="1">
        <v>45754</v>
      </c>
      <c r="E10">
        <v>2974.77</v>
      </c>
      <c r="F10" t="s">
        <v>85</v>
      </c>
      <c r="G10">
        <v>0</v>
      </c>
      <c r="J10" t="s">
        <v>88</v>
      </c>
    </row>
    <row r="11" spans="1:13" x14ac:dyDescent="0.3">
      <c r="A11">
        <v>10</v>
      </c>
      <c r="B11">
        <v>5</v>
      </c>
      <c r="C11">
        <v>66</v>
      </c>
      <c r="D11" s="1">
        <v>45702</v>
      </c>
      <c r="E11">
        <v>4627.66</v>
      </c>
      <c r="F11" t="s">
        <v>86</v>
      </c>
      <c r="G11">
        <v>0</v>
      </c>
      <c r="J11" s="2" t="s">
        <v>91</v>
      </c>
      <c r="K11" t="s">
        <v>99</v>
      </c>
    </row>
    <row r="12" spans="1:13" x14ac:dyDescent="0.3">
      <c r="A12">
        <v>11</v>
      </c>
      <c r="B12">
        <v>1</v>
      </c>
      <c r="C12">
        <v>18</v>
      </c>
      <c r="D12" s="1">
        <v>45718</v>
      </c>
      <c r="E12">
        <v>7987.96</v>
      </c>
      <c r="F12" t="s">
        <v>88</v>
      </c>
      <c r="G12">
        <v>0</v>
      </c>
      <c r="J12" s="3" t="s">
        <v>86</v>
      </c>
      <c r="K12" s="4">
        <v>51915.91</v>
      </c>
    </row>
    <row r="13" spans="1:13" x14ac:dyDescent="0.3">
      <c r="A13">
        <v>12</v>
      </c>
      <c r="B13">
        <v>4</v>
      </c>
      <c r="C13">
        <v>7</v>
      </c>
      <c r="D13" s="1">
        <v>45745</v>
      </c>
      <c r="E13">
        <v>4140.9799999999996</v>
      </c>
      <c r="F13" t="s">
        <v>85</v>
      </c>
      <c r="G13">
        <v>0</v>
      </c>
      <c r="J13" s="3" t="s">
        <v>87</v>
      </c>
      <c r="K13" s="4">
        <v>77371.259999999995</v>
      </c>
    </row>
    <row r="14" spans="1:13" x14ac:dyDescent="0.3">
      <c r="A14">
        <v>13</v>
      </c>
      <c r="B14">
        <v>2</v>
      </c>
      <c r="C14">
        <v>26</v>
      </c>
      <c r="D14" s="1">
        <v>45678</v>
      </c>
      <c r="E14">
        <v>1890.82</v>
      </c>
      <c r="F14" t="s">
        <v>84</v>
      </c>
      <c r="G14">
        <v>1</v>
      </c>
      <c r="J14" s="3" t="s">
        <v>85</v>
      </c>
      <c r="K14" s="4">
        <v>90958.5</v>
      </c>
    </row>
    <row r="15" spans="1:13" x14ac:dyDescent="0.3">
      <c r="A15">
        <v>14</v>
      </c>
      <c r="B15">
        <v>2</v>
      </c>
      <c r="C15">
        <v>100</v>
      </c>
      <c r="D15" s="1">
        <v>45679</v>
      </c>
      <c r="E15">
        <v>5881.03</v>
      </c>
      <c r="F15" t="s">
        <v>88</v>
      </c>
      <c r="G15">
        <v>1</v>
      </c>
      <c r="J15" s="3" t="s">
        <v>88</v>
      </c>
      <c r="K15" s="4">
        <v>66571.62</v>
      </c>
    </row>
    <row r="16" spans="1:13" x14ac:dyDescent="0.3">
      <c r="A16">
        <v>15</v>
      </c>
      <c r="B16">
        <v>4</v>
      </c>
      <c r="C16">
        <v>89</v>
      </c>
      <c r="D16" s="1">
        <v>45693</v>
      </c>
      <c r="E16">
        <v>5435.07</v>
      </c>
      <c r="F16" t="s">
        <v>84</v>
      </c>
      <c r="G16">
        <v>0</v>
      </c>
      <c r="J16" s="3" t="s">
        <v>84</v>
      </c>
      <c r="K16" s="4">
        <v>65284.72</v>
      </c>
    </row>
    <row r="17" spans="1:11" x14ac:dyDescent="0.3">
      <c r="A17">
        <v>16</v>
      </c>
      <c r="B17">
        <v>3</v>
      </c>
      <c r="C17">
        <v>69</v>
      </c>
      <c r="D17" s="1">
        <v>45758</v>
      </c>
      <c r="E17">
        <v>6252.74</v>
      </c>
      <c r="F17" t="s">
        <v>88</v>
      </c>
      <c r="G17">
        <v>1</v>
      </c>
      <c r="J17" s="3" t="s">
        <v>92</v>
      </c>
      <c r="K17" s="4">
        <v>352102.01</v>
      </c>
    </row>
    <row r="18" spans="1:11" x14ac:dyDescent="0.3">
      <c r="A18">
        <v>17</v>
      </c>
      <c r="B18">
        <v>1</v>
      </c>
      <c r="C18">
        <v>15</v>
      </c>
      <c r="D18" s="1">
        <v>45683</v>
      </c>
      <c r="E18">
        <v>1044.3699999999999</v>
      </c>
      <c r="F18" t="s">
        <v>88</v>
      </c>
      <c r="G18">
        <v>1</v>
      </c>
    </row>
    <row r="19" spans="1:11" x14ac:dyDescent="0.3">
      <c r="A19">
        <v>18</v>
      </c>
      <c r="B19">
        <v>3</v>
      </c>
      <c r="C19">
        <v>59</v>
      </c>
      <c r="D19" s="1">
        <v>45725</v>
      </c>
      <c r="E19">
        <v>8924.85</v>
      </c>
      <c r="F19" t="s">
        <v>84</v>
      </c>
      <c r="G19">
        <v>0</v>
      </c>
    </row>
    <row r="20" spans="1:11" x14ac:dyDescent="0.3">
      <c r="A20">
        <v>19</v>
      </c>
      <c r="B20">
        <v>2</v>
      </c>
      <c r="C20">
        <v>52</v>
      </c>
      <c r="D20" s="1">
        <v>45729</v>
      </c>
      <c r="E20">
        <v>6312.57</v>
      </c>
      <c r="F20" t="s">
        <v>88</v>
      </c>
      <c r="G20">
        <v>1</v>
      </c>
      <c r="J20" s="5" t="s">
        <v>100</v>
      </c>
      <c r="K20" s="5"/>
    </row>
    <row r="21" spans="1:11" x14ac:dyDescent="0.3">
      <c r="A21">
        <v>20</v>
      </c>
      <c r="B21">
        <v>3</v>
      </c>
      <c r="C21">
        <v>100</v>
      </c>
      <c r="D21" s="1">
        <v>45731</v>
      </c>
      <c r="E21">
        <v>4290.49</v>
      </c>
      <c r="F21" t="s">
        <v>84</v>
      </c>
      <c r="G21">
        <v>0</v>
      </c>
      <c r="J21">
        <v>1</v>
      </c>
      <c r="K21">
        <f>SUMIF(B:B,J21,E:E)</f>
        <v>70857.78</v>
      </c>
    </row>
    <row r="22" spans="1:11" x14ac:dyDescent="0.3">
      <c r="A22">
        <v>21</v>
      </c>
      <c r="B22">
        <v>2</v>
      </c>
      <c r="C22">
        <v>47</v>
      </c>
      <c r="D22" s="1">
        <v>45712</v>
      </c>
      <c r="E22">
        <v>5426.91</v>
      </c>
      <c r="F22" t="s">
        <v>86</v>
      </c>
      <c r="G22">
        <v>1</v>
      </c>
      <c r="J22">
        <v>2</v>
      </c>
      <c r="K22">
        <f t="shared" ref="K22:K25" si="0">SUMIF(B:B,J22,E:E)</f>
        <v>96893.24</v>
      </c>
    </row>
    <row r="23" spans="1:11" x14ac:dyDescent="0.3">
      <c r="A23">
        <v>22</v>
      </c>
      <c r="B23">
        <v>2</v>
      </c>
      <c r="C23">
        <v>19</v>
      </c>
      <c r="D23" s="1">
        <v>45709</v>
      </c>
      <c r="E23">
        <v>7057.73</v>
      </c>
      <c r="F23" t="s">
        <v>87</v>
      </c>
      <c r="G23">
        <v>0</v>
      </c>
      <c r="J23">
        <v>3</v>
      </c>
      <c r="K23">
        <f t="shared" si="0"/>
        <v>102217.93999999997</v>
      </c>
    </row>
    <row r="24" spans="1:11" x14ac:dyDescent="0.3">
      <c r="A24">
        <v>23</v>
      </c>
      <c r="B24">
        <v>2</v>
      </c>
      <c r="C24">
        <v>28</v>
      </c>
      <c r="D24" s="1">
        <v>45660</v>
      </c>
      <c r="E24">
        <v>9829.11</v>
      </c>
      <c r="F24" t="s">
        <v>88</v>
      </c>
      <c r="G24">
        <v>0</v>
      </c>
      <c r="J24">
        <v>4</v>
      </c>
      <c r="K24">
        <f t="shared" si="0"/>
        <v>51558.649999999994</v>
      </c>
    </row>
    <row r="25" spans="1:11" x14ac:dyDescent="0.3">
      <c r="A25">
        <v>24</v>
      </c>
      <c r="B25">
        <v>5</v>
      </c>
      <c r="C25">
        <v>7</v>
      </c>
      <c r="D25" s="1">
        <v>45761</v>
      </c>
      <c r="E25">
        <v>7859.86</v>
      </c>
      <c r="F25" t="s">
        <v>85</v>
      </c>
      <c r="G25">
        <v>1</v>
      </c>
      <c r="J25">
        <v>5</v>
      </c>
      <c r="K25">
        <f t="shared" si="0"/>
        <v>30574.399999999998</v>
      </c>
    </row>
    <row r="26" spans="1:11" x14ac:dyDescent="0.3">
      <c r="A26">
        <v>25</v>
      </c>
      <c r="B26">
        <v>4</v>
      </c>
      <c r="C26">
        <v>30</v>
      </c>
      <c r="D26" s="1">
        <v>45678</v>
      </c>
      <c r="E26">
        <v>2927.59</v>
      </c>
      <c r="F26" t="s">
        <v>88</v>
      </c>
      <c r="G26">
        <v>1</v>
      </c>
    </row>
    <row r="27" spans="1:11" x14ac:dyDescent="0.3">
      <c r="A27">
        <v>26</v>
      </c>
      <c r="B27">
        <v>4</v>
      </c>
      <c r="C27">
        <v>90</v>
      </c>
      <c r="D27" s="1">
        <v>45741</v>
      </c>
      <c r="E27">
        <v>8758.93</v>
      </c>
      <c r="F27" t="s">
        <v>87</v>
      </c>
      <c r="G27">
        <v>0</v>
      </c>
    </row>
    <row r="28" spans="1:11" x14ac:dyDescent="0.3">
      <c r="A28">
        <v>27</v>
      </c>
      <c r="B28">
        <v>3</v>
      </c>
      <c r="C28">
        <v>4</v>
      </c>
      <c r="D28" s="1">
        <v>45738</v>
      </c>
      <c r="E28">
        <v>5596.84</v>
      </c>
      <c r="F28" t="s">
        <v>86</v>
      </c>
      <c r="G28">
        <v>1</v>
      </c>
    </row>
    <row r="29" spans="1:11" x14ac:dyDescent="0.3">
      <c r="A29">
        <v>28</v>
      </c>
      <c r="B29">
        <v>2</v>
      </c>
      <c r="C29">
        <v>60</v>
      </c>
      <c r="D29" s="1">
        <v>45690</v>
      </c>
      <c r="E29">
        <v>7947.07</v>
      </c>
      <c r="F29" t="s">
        <v>84</v>
      </c>
      <c r="G29">
        <v>0</v>
      </c>
    </row>
    <row r="30" spans="1:11" x14ac:dyDescent="0.3">
      <c r="A30">
        <v>29</v>
      </c>
      <c r="B30">
        <v>2</v>
      </c>
      <c r="C30">
        <v>61</v>
      </c>
      <c r="D30" s="1">
        <v>45708</v>
      </c>
      <c r="E30">
        <v>9511.5300000000007</v>
      </c>
      <c r="F30" t="s">
        <v>85</v>
      </c>
      <c r="G30">
        <v>0</v>
      </c>
    </row>
    <row r="31" spans="1:11" x14ac:dyDescent="0.3">
      <c r="A31">
        <v>30</v>
      </c>
      <c r="B31">
        <v>3</v>
      </c>
      <c r="C31">
        <v>28</v>
      </c>
      <c r="D31" s="1">
        <v>45695</v>
      </c>
      <c r="E31">
        <v>7229.23</v>
      </c>
      <c r="F31" t="s">
        <v>86</v>
      </c>
      <c r="G31">
        <v>1</v>
      </c>
    </row>
    <row r="32" spans="1:11" x14ac:dyDescent="0.3">
      <c r="A32">
        <v>31</v>
      </c>
      <c r="B32">
        <v>1</v>
      </c>
      <c r="C32">
        <v>54</v>
      </c>
      <c r="D32" s="1">
        <v>45755</v>
      </c>
      <c r="E32">
        <v>4555.26</v>
      </c>
      <c r="F32" t="s">
        <v>85</v>
      </c>
      <c r="G32">
        <v>0</v>
      </c>
    </row>
    <row r="33" spans="1:7" x14ac:dyDescent="0.3">
      <c r="A33">
        <v>32</v>
      </c>
      <c r="B33">
        <v>3</v>
      </c>
      <c r="C33">
        <v>75</v>
      </c>
      <c r="D33" s="1">
        <v>45748</v>
      </c>
      <c r="E33">
        <v>9556.4599999999991</v>
      </c>
      <c r="F33" t="s">
        <v>87</v>
      </c>
      <c r="G33">
        <v>1</v>
      </c>
    </row>
    <row r="34" spans="1:7" x14ac:dyDescent="0.3">
      <c r="A34">
        <v>33</v>
      </c>
      <c r="B34">
        <v>3</v>
      </c>
      <c r="C34">
        <v>13</v>
      </c>
      <c r="D34" s="1">
        <v>45752</v>
      </c>
      <c r="E34">
        <v>5886.47</v>
      </c>
      <c r="F34" t="s">
        <v>86</v>
      </c>
      <c r="G34">
        <v>0</v>
      </c>
    </row>
    <row r="35" spans="1:7" x14ac:dyDescent="0.3">
      <c r="A35">
        <v>34</v>
      </c>
      <c r="B35">
        <v>5</v>
      </c>
      <c r="C35">
        <v>90</v>
      </c>
      <c r="D35" s="1">
        <v>45704</v>
      </c>
      <c r="E35">
        <v>5559.94</v>
      </c>
      <c r="F35" t="s">
        <v>84</v>
      </c>
      <c r="G35">
        <v>1</v>
      </c>
    </row>
    <row r="36" spans="1:7" x14ac:dyDescent="0.3">
      <c r="A36">
        <v>35</v>
      </c>
      <c r="B36">
        <v>5</v>
      </c>
      <c r="C36">
        <v>90</v>
      </c>
      <c r="D36" s="1">
        <v>45719</v>
      </c>
      <c r="E36">
        <v>2639.77</v>
      </c>
      <c r="F36" t="s">
        <v>85</v>
      </c>
      <c r="G36">
        <v>0</v>
      </c>
    </row>
    <row r="37" spans="1:7" x14ac:dyDescent="0.3">
      <c r="A37">
        <v>36</v>
      </c>
      <c r="B37">
        <v>4</v>
      </c>
      <c r="C37">
        <v>36</v>
      </c>
      <c r="D37" s="1">
        <v>45695</v>
      </c>
      <c r="E37">
        <v>9285.7000000000007</v>
      </c>
      <c r="F37" t="s">
        <v>85</v>
      </c>
      <c r="G37">
        <v>1</v>
      </c>
    </row>
    <row r="38" spans="1:7" x14ac:dyDescent="0.3">
      <c r="A38">
        <v>37</v>
      </c>
      <c r="B38">
        <v>3</v>
      </c>
      <c r="C38">
        <v>44</v>
      </c>
      <c r="D38" s="1">
        <v>45666</v>
      </c>
      <c r="E38">
        <v>3309.83</v>
      </c>
      <c r="F38" t="s">
        <v>86</v>
      </c>
      <c r="G38">
        <v>0</v>
      </c>
    </row>
    <row r="39" spans="1:7" x14ac:dyDescent="0.3">
      <c r="A39">
        <v>38</v>
      </c>
      <c r="B39">
        <v>4</v>
      </c>
      <c r="C39">
        <v>54</v>
      </c>
      <c r="D39" s="1">
        <v>45752</v>
      </c>
      <c r="E39">
        <v>6274.51</v>
      </c>
      <c r="F39" t="s">
        <v>87</v>
      </c>
      <c r="G39">
        <v>1</v>
      </c>
    </row>
    <row r="40" spans="1:7" x14ac:dyDescent="0.3">
      <c r="A40">
        <v>39</v>
      </c>
      <c r="B40">
        <v>2</v>
      </c>
      <c r="C40">
        <v>56</v>
      </c>
      <c r="D40" s="1">
        <v>45766</v>
      </c>
      <c r="E40">
        <v>3751.49</v>
      </c>
      <c r="F40" t="s">
        <v>86</v>
      </c>
      <c r="G40">
        <v>0</v>
      </c>
    </row>
    <row r="41" spans="1:7" x14ac:dyDescent="0.3">
      <c r="A41">
        <v>40</v>
      </c>
      <c r="B41">
        <v>1</v>
      </c>
      <c r="C41">
        <v>90</v>
      </c>
      <c r="D41" s="1">
        <v>45731</v>
      </c>
      <c r="E41">
        <v>5238.93</v>
      </c>
      <c r="F41" t="s">
        <v>87</v>
      </c>
      <c r="G41">
        <v>1</v>
      </c>
    </row>
    <row r="42" spans="1:7" x14ac:dyDescent="0.3">
      <c r="A42">
        <v>41</v>
      </c>
      <c r="B42">
        <v>5</v>
      </c>
      <c r="C42">
        <v>28</v>
      </c>
      <c r="D42" s="1">
        <v>45760</v>
      </c>
      <c r="E42">
        <v>1990.28</v>
      </c>
      <c r="F42" t="s">
        <v>87</v>
      </c>
      <c r="G42">
        <v>1</v>
      </c>
    </row>
    <row r="43" spans="1:7" x14ac:dyDescent="0.3">
      <c r="A43">
        <v>42</v>
      </c>
      <c r="B43">
        <v>1</v>
      </c>
      <c r="C43">
        <v>28</v>
      </c>
      <c r="D43" s="1">
        <v>45727</v>
      </c>
      <c r="E43">
        <v>8706.98</v>
      </c>
      <c r="F43" t="s">
        <v>87</v>
      </c>
      <c r="G43">
        <v>0</v>
      </c>
    </row>
    <row r="44" spans="1:7" x14ac:dyDescent="0.3">
      <c r="A44">
        <v>43</v>
      </c>
      <c r="B44">
        <v>2</v>
      </c>
      <c r="C44">
        <v>8</v>
      </c>
      <c r="D44" s="1">
        <v>45741</v>
      </c>
      <c r="E44">
        <v>1254.2</v>
      </c>
      <c r="F44" t="s">
        <v>84</v>
      </c>
      <c r="G44">
        <v>1</v>
      </c>
    </row>
    <row r="45" spans="1:7" x14ac:dyDescent="0.3">
      <c r="A45">
        <v>44</v>
      </c>
      <c r="B45">
        <v>2</v>
      </c>
      <c r="C45">
        <v>61</v>
      </c>
      <c r="D45" s="1">
        <v>45752</v>
      </c>
      <c r="E45">
        <v>9939.08</v>
      </c>
      <c r="F45" t="s">
        <v>84</v>
      </c>
      <c r="G45">
        <v>0</v>
      </c>
    </row>
    <row r="46" spans="1:7" x14ac:dyDescent="0.3">
      <c r="A46">
        <v>45</v>
      </c>
      <c r="B46">
        <v>3</v>
      </c>
      <c r="C46">
        <v>93</v>
      </c>
      <c r="D46" s="1">
        <v>45761</v>
      </c>
      <c r="E46">
        <v>6931.64</v>
      </c>
      <c r="F46" t="s">
        <v>85</v>
      </c>
      <c r="G46">
        <v>0</v>
      </c>
    </row>
    <row r="47" spans="1:7" x14ac:dyDescent="0.3">
      <c r="A47">
        <v>46</v>
      </c>
      <c r="B47">
        <v>3</v>
      </c>
      <c r="C47">
        <v>1</v>
      </c>
      <c r="D47" s="1">
        <v>45760</v>
      </c>
      <c r="E47">
        <v>9719.77</v>
      </c>
      <c r="F47" t="s">
        <v>88</v>
      </c>
      <c r="G47">
        <v>0</v>
      </c>
    </row>
    <row r="48" spans="1:7" x14ac:dyDescent="0.3">
      <c r="A48">
        <v>47</v>
      </c>
      <c r="B48">
        <v>3</v>
      </c>
      <c r="C48">
        <v>38</v>
      </c>
      <c r="D48" s="1">
        <v>45742</v>
      </c>
      <c r="E48">
        <v>1499.65</v>
      </c>
      <c r="F48" t="s">
        <v>88</v>
      </c>
      <c r="G48">
        <v>0</v>
      </c>
    </row>
    <row r="49" spans="1:7" x14ac:dyDescent="0.3">
      <c r="A49">
        <v>48</v>
      </c>
      <c r="B49">
        <v>1</v>
      </c>
      <c r="C49">
        <v>29</v>
      </c>
      <c r="D49" s="1">
        <v>45666</v>
      </c>
      <c r="E49">
        <v>9786.9</v>
      </c>
      <c r="F49" t="s">
        <v>84</v>
      </c>
      <c r="G49">
        <v>0</v>
      </c>
    </row>
    <row r="50" spans="1:7" x14ac:dyDescent="0.3">
      <c r="A50">
        <v>49</v>
      </c>
      <c r="B50">
        <v>1</v>
      </c>
      <c r="C50">
        <v>91</v>
      </c>
      <c r="D50" s="1">
        <v>45745</v>
      </c>
      <c r="E50">
        <v>8686.1</v>
      </c>
      <c r="F50" t="s">
        <v>88</v>
      </c>
      <c r="G50">
        <v>0</v>
      </c>
    </row>
    <row r="51" spans="1:7" x14ac:dyDescent="0.3">
      <c r="A51">
        <v>50</v>
      </c>
      <c r="B51">
        <v>3</v>
      </c>
      <c r="C51">
        <v>96</v>
      </c>
      <c r="D51" s="1">
        <v>45705</v>
      </c>
      <c r="E51">
        <v>4506.5600000000004</v>
      </c>
      <c r="F51" t="s">
        <v>85</v>
      </c>
      <c r="G51">
        <v>1</v>
      </c>
    </row>
    <row r="52" spans="1:7" x14ac:dyDescent="0.3">
      <c r="A52">
        <v>51</v>
      </c>
      <c r="B52">
        <v>2</v>
      </c>
      <c r="C52">
        <v>80</v>
      </c>
      <c r="D52" s="1">
        <v>45711</v>
      </c>
      <c r="E52">
        <v>1701.46</v>
      </c>
      <c r="F52" t="s">
        <v>84</v>
      </c>
      <c r="G52">
        <v>0</v>
      </c>
    </row>
    <row r="53" spans="1:7" x14ac:dyDescent="0.3">
      <c r="A53">
        <v>52</v>
      </c>
      <c r="B53">
        <v>1</v>
      </c>
      <c r="C53">
        <v>36</v>
      </c>
      <c r="D53" s="1">
        <v>45678</v>
      </c>
      <c r="E53">
        <v>4885.51</v>
      </c>
      <c r="F53" t="s">
        <v>87</v>
      </c>
      <c r="G53">
        <v>1</v>
      </c>
    </row>
    <row r="54" spans="1:7" x14ac:dyDescent="0.3">
      <c r="A54">
        <v>53</v>
      </c>
      <c r="B54">
        <v>4</v>
      </c>
      <c r="C54">
        <v>13</v>
      </c>
      <c r="D54" s="1">
        <v>45665</v>
      </c>
      <c r="E54">
        <v>502.21</v>
      </c>
      <c r="F54" t="s">
        <v>87</v>
      </c>
      <c r="G54">
        <v>0</v>
      </c>
    </row>
    <row r="55" spans="1:7" x14ac:dyDescent="0.3">
      <c r="A55">
        <v>54</v>
      </c>
      <c r="B55">
        <v>3</v>
      </c>
      <c r="C55">
        <v>91</v>
      </c>
      <c r="D55" s="1">
        <v>45719</v>
      </c>
      <c r="E55">
        <v>9734.31</v>
      </c>
      <c r="F55" t="s">
        <v>87</v>
      </c>
      <c r="G55">
        <v>1</v>
      </c>
    </row>
    <row r="56" spans="1:7" x14ac:dyDescent="0.3">
      <c r="A56">
        <v>55</v>
      </c>
      <c r="B56">
        <v>2</v>
      </c>
      <c r="C56">
        <v>56</v>
      </c>
      <c r="D56" s="1">
        <v>45762</v>
      </c>
      <c r="E56">
        <v>7806.39</v>
      </c>
      <c r="F56" t="s">
        <v>87</v>
      </c>
      <c r="G56">
        <v>1</v>
      </c>
    </row>
    <row r="57" spans="1:7" x14ac:dyDescent="0.3">
      <c r="A57">
        <v>56</v>
      </c>
      <c r="B57">
        <v>1</v>
      </c>
      <c r="C57">
        <v>45</v>
      </c>
      <c r="D57" s="1">
        <v>45664</v>
      </c>
      <c r="E57">
        <v>8982.2099999999991</v>
      </c>
      <c r="F57" t="s">
        <v>85</v>
      </c>
      <c r="G57">
        <v>1</v>
      </c>
    </row>
    <row r="58" spans="1:7" x14ac:dyDescent="0.3">
      <c r="A58">
        <v>57</v>
      </c>
      <c r="B58">
        <v>2</v>
      </c>
      <c r="C58">
        <v>50</v>
      </c>
      <c r="D58" s="1">
        <v>45774</v>
      </c>
      <c r="E58">
        <v>6408.81</v>
      </c>
      <c r="F58" t="s">
        <v>85</v>
      </c>
      <c r="G58">
        <v>0</v>
      </c>
    </row>
    <row r="59" spans="1:7" x14ac:dyDescent="0.3">
      <c r="A59">
        <v>58</v>
      </c>
      <c r="B59">
        <v>5</v>
      </c>
      <c r="C59">
        <v>49</v>
      </c>
      <c r="D59" s="1">
        <v>45753</v>
      </c>
      <c r="E59">
        <v>4922.12</v>
      </c>
      <c r="F59" t="s">
        <v>86</v>
      </c>
      <c r="G59">
        <v>0</v>
      </c>
    </row>
    <row r="60" spans="1:7" x14ac:dyDescent="0.3">
      <c r="A60">
        <v>59</v>
      </c>
      <c r="B60">
        <v>4</v>
      </c>
      <c r="C60">
        <v>3</v>
      </c>
      <c r="D60" s="1">
        <v>45732</v>
      </c>
      <c r="E60">
        <v>6430.73</v>
      </c>
      <c r="F60" t="s">
        <v>88</v>
      </c>
      <c r="G60">
        <v>1</v>
      </c>
    </row>
    <row r="61" spans="1:7" x14ac:dyDescent="0.3">
      <c r="A61">
        <v>60</v>
      </c>
      <c r="B61">
        <v>2</v>
      </c>
      <c r="C61">
        <v>16</v>
      </c>
      <c r="D61" s="1">
        <v>45697</v>
      </c>
      <c r="E61">
        <v>4664.91</v>
      </c>
      <c r="F61" t="s">
        <v>87</v>
      </c>
      <c r="G61">
        <v>1</v>
      </c>
    </row>
  </sheetData>
  <mergeCells count="2">
    <mergeCell ref="J4:M4"/>
    <mergeCell ref="J20:K20"/>
  </mergeCells>
  <dataValidations count="1">
    <dataValidation type="list" allowBlank="1" showInputMessage="1" showErrorMessage="1" sqref="K5" xr:uid="{F13822E8-2448-4236-BBB0-DA26A0925542}">
      <formula1>$J$5:$J$10</formula1>
    </dataValidation>
  </dataValidation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customers</vt:lpstr>
      <vt:lpstr>campaigns</vt:lpstr>
      <vt:lpstr>campaign_interactions</vt:lpstr>
      <vt:lpstr>conversions</vt:lpstr>
      <vt:lpstr>conversions!Extract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Prashant Kumar</cp:lastModifiedBy>
  <dcterms:created xsi:type="dcterms:W3CDTF">2026-06-10T22:18:27Z</dcterms:created>
  <dcterms:modified xsi:type="dcterms:W3CDTF">2026-06-12T12:56:12Z</dcterms:modified>
</cp:coreProperties>
</file>